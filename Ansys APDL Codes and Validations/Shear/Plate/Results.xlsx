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ndergraduate Studies\MEAD\Διπλωματική Εργασία\Αριθμητικά Μοντέλα\ΑΜ και Επιβεβαιώσεις\2. Διάτμηση\1. Επίπεδη Πλάκα\"/>
    </mc:Choice>
  </mc:AlternateContent>
  <xr:revisionPtr revIDLastSave="0" documentId="13_ncr:1_{918592DB-4C89-425D-8E05-7C9DF68343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7" i="1"/>
  <c r="H6" i="1"/>
  <c r="H5" i="1"/>
  <c r="D13" i="1"/>
  <c r="C9" i="1"/>
  <c r="B13" i="1" s="1"/>
  <c r="C10" i="1"/>
</calcChain>
</file>

<file path=xl/sharedStrings.xml><?xml version="1.0" encoding="utf-8"?>
<sst xmlns="http://schemas.openxmlformats.org/spreadsheetml/2006/main" count="17" uniqueCount="16">
  <si>
    <t>Ελαστικό Φορτίου Λυγισμού</t>
  </si>
  <si>
    <t>a</t>
  </si>
  <si>
    <t>b</t>
  </si>
  <si>
    <t>t</t>
  </si>
  <si>
    <t>E</t>
  </si>
  <si>
    <t>n</t>
  </si>
  <si>
    <t xml:space="preserve">k_s </t>
  </si>
  <si>
    <t>D</t>
  </si>
  <si>
    <t xml:space="preserve">σ_κρ </t>
  </si>
  <si>
    <t>σ_κρ_FEA</t>
  </si>
  <si>
    <t>δ</t>
  </si>
  <si>
    <t>δ (%)</t>
  </si>
  <si>
    <t>Έλεγχος σύγκλισης πλέγματος</t>
  </si>
  <si>
    <t>σ_κρ</t>
  </si>
  <si>
    <t>-</t>
  </si>
  <si>
    <t>Μη-γραμμική ανάλυση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</si>
</sst>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Καμπύλη</a:t>
            </a:r>
            <a:r>
              <a:rPr lang="el-GR" baseline="0"/>
              <a:t> τάσης - μετατόπισης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Φύλλο1!$M$3:$M$52</c:f>
              <c:numCache>
                <c:formatCode>0.00E+00</c:formatCode>
                <c:ptCount val="50"/>
                <c:pt idx="0">
                  <c:v>1.2800000000000001E-3</c:v>
                </c:pt>
                <c:pt idx="1">
                  <c:v>2.5600000000000002E-3</c:v>
                </c:pt>
                <c:pt idx="2">
                  <c:v>3.8400000000000001E-3</c:v>
                </c:pt>
                <c:pt idx="3">
                  <c:v>5.1200000000000004E-3</c:v>
                </c:pt>
                <c:pt idx="4">
                  <c:v>6.4000000000000003E-3</c:v>
                </c:pt>
                <c:pt idx="5">
                  <c:v>7.6800000000000002E-3</c:v>
                </c:pt>
                <c:pt idx="6">
                  <c:v>8.9599999999999992E-3</c:v>
                </c:pt>
                <c:pt idx="7">
                  <c:v>1.0240000000000001E-2</c:v>
                </c:pt>
                <c:pt idx="8">
                  <c:v>1.1520000000000001E-2</c:v>
                </c:pt>
                <c:pt idx="9">
                  <c:v>1.2800000000000001E-2</c:v>
                </c:pt>
                <c:pt idx="10">
                  <c:v>1.4080000000000001E-2</c:v>
                </c:pt>
                <c:pt idx="11">
                  <c:v>1.536E-2</c:v>
                </c:pt>
                <c:pt idx="12">
                  <c:v>1.6639999999999999E-2</c:v>
                </c:pt>
                <c:pt idx="13">
                  <c:v>1.7919999999999998E-2</c:v>
                </c:pt>
                <c:pt idx="14">
                  <c:v>1.9199999999999998E-2</c:v>
                </c:pt>
                <c:pt idx="15">
                  <c:v>2.0480000000000002E-2</c:v>
                </c:pt>
                <c:pt idx="16">
                  <c:v>2.1760000000000002E-2</c:v>
                </c:pt>
                <c:pt idx="17">
                  <c:v>2.3040000000000001E-2</c:v>
                </c:pt>
                <c:pt idx="18">
                  <c:v>2.4320000000000001E-2</c:v>
                </c:pt>
                <c:pt idx="19">
                  <c:v>2.5600000000000001E-2</c:v>
                </c:pt>
                <c:pt idx="20">
                  <c:v>2.6880000000000001E-2</c:v>
                </c:pt>
                <c:pt idx="21">
                  <c:v>2.8160000000000001E-2</c:v>
                </c:pt>
                <c:pt idx="22">
                  <c:v>2.9440000000000001E-2</c:v>
                </c:pt>
                <c:pt idx="23">
                  <c:v>3.0720000000000001E-2</c:v>
                </c:pt>
                <c:pt idx="24">
                  <c:v>3.2000000000000001E-2</c:v>
                </c:pt>
                <c:pt idx="25">
                  <c:v>3.3279999999999997E-2</c:v>
                </c:pt>
                <c:pt idx="26">
                  <c:v>3.456E-2</c:v>
                </c:pt>
                <c:pt idx="27">
                  <c:v>3.5839999999999997E-2</c:v>
                </c:pt>
                <c:pt idx="28">
                  <c:v>3.712E-2</c:v>
                </c:pt>
                <c:pt idx="29">
                  <c:v>3.8399999999999997E-2</c:v>
                </c:pt>
                <c:pt idx="30">
                  <c:v>3.968E-2</c:v>
                </c:pt>
                <c:pt idx="31">
                  <c:v>4.0960000000000003E-2</c:v>
                </c:pt>
                <c:pt idx="32">
                  <c:v>4.224E-2</c:v>
                </c:pt>
                <c:pt idx="33">
                  <c:v>4.3520000000000003E-2</c:v>
                </c:pt>
                <c:pt idx="34">
                  <c:v>4.48E-2</c:v>
                </c:pt>
                <c:pt idx="35">
                  <c:v>4.6080000000000003E-2</c:v>
                </c:pt>
                <c:pt idx="36">
                  <c:v>4.7359999999999999E-2</c:v>
                </c:pt>
                <c:pt idx="37">
                  <c:v>4.8640000000000003E-2</c:v>
                </c:pt>
                <c:pt idx="38">
                  <c:v>4.9919999999999999E-2</c:v>
                </c:pt>
                <c:pt idx="39">
                  <c:v>5.1200000000000002E-2</c:v>
                </c:pt>
                <c:pt idx="40">
                  <c:v>5.2479999999999999E-2</c:v>
                </c:pt>
                <c:pt idx="41">
                  <c:v>5.3760000000000002E-2</c:v>
                </c:pt>
                <c:pt idx="42">
                  <c:v>5.5039999999999999E-2</c:v>
                </c:pt>
                <c:pt idx="43">
                  <c:v>5.6320000000000002E-2</c:v>
                </c:pt>
                <c:pt idx="44">
                  <c:v>5.7599999999999998E-2</c:v>
                </c:pt>
                <c:pt idx="45">
                  <c:v>5.8880000000000002E-2</c:v>
                </c:pt>
                <c:pt idx="46">
                  <c:v>6.0159999999999998E-2</c:v>
                </c:pt>
                <c:pt idx="47">
                  <c:v>6.1440000000000002E-2</c:v>
                </c:pt>
                <c:pt idx="48">
                  <c:v>6.2719999999999998E-2</c:v>
                </c:pt>
                <c:pt idx="49">
                  <c:v>6.4000000000000001E-2</c:v>
                </c:pt>
              </c:numCache>
            </c:numRef>
          </c:xVal>
          <c:yVal>
            <c:numRef>
              <c:f>Φύλλο1!$N$3:$N$52</c:f>
              <c:numCache>
                <c:formatCode>General</c:formatCode>
                <c:ptCount val="50"/>
                <c:pt idx="0">
                  <c:v>0.39187691699999999</c:v>
                </c:pt>
                <c:pt idx="1">
                  <c:v>0.78375383399999998</c:v>
                </c:pt>
                <c:pt idx="2">
                  <c:v>1.1756307500000001</c:v>
                </c:pt>
                <c:pt idx="3">
                  <c:v>1.5675076699999999</c:v>
                </c:pt>
                <c:pt idx="4">
                  <c:v>1.95938459</c:v>
                </c:pt>
                <c:pt idx="5">
                  <c:v>2.3512615100000001</c:v>
                </c:pt>
                <c:pt idx="6">
                  <c:v>2.7431384300000001</c:v>
                </c:pt>
                <c:pt idx="7">
                  <c:v>3.1350153500000002</c:v>
                </c:pt>
                <c:pt idx="8">
                  <c:v>3.5268922599999999</c:v>
                </c:pt>
                <c:pt idx="9">
                  <c:v>3.91876918</c:v>
                </c:pt>
                <c:pt idx="10">
                  <c:v>4.3106460899999997</c:v>
                </c:pt>
                <c:pt idx="11">
                  <c:v>4.7025229900000003</c:v>
                </c:pt>
                <c:pt idx="12">
                  <c:v>5.0943998800000001</c:v>
                </c:pt>
                <c:pt idx="13">
                  <c:v>5.48627676</c:v>
                </c:pt>
                <c:pt idx="14">
                  <c:v>5.87815362</c:v>
                </c:pt>
                <c:pt idx="15">
                  <c:v>6.2700304500000001</c:v>
                </c:pt>
                <c:pt idx="16">
                  <c:v>6.6619072399999997</c:v>
                </c:pt>
                <c:pt idx="17">
                  <c:v>7.0537839399999998</c:v>
                </c:pt>
                <c:pt idx="18">
                  <c:v>7.4456605199999997</c:v>
                </c:pt>
                <c:pt idx="19">
                  <c:v>7.8375368500000002</c:v>
                </c:pt>
                <c:pt idx="20">
                  <c:v>8.2294126599999995</c:v>
                </c:pt>
                <c:pt idx="21">
                  <c:v>8.6212871999999994</c:v>
                </c:pt>
                <c:pt idx="22">
                  <c:v>9.01315752</c:v>
                </c:pt>
                <c:pt idx="23">
                  <c:v>9.4050022999999996</c:v>
                </c:pt>
                <c:pt idx="24">
                  <c:v>9.7941161999999995</c:v>
                </c:pt>
                <c:pt idx="25">
                  <c:v>10.101807300000001</c:v>
                </c:pt>
                <c:pt idx="26">
                  <c:v>10.3877951</c:v>
                </c:pt>
                <c:pt idx="27">
                  <c:v>10.6653486</c:v>
                </c:pt>
                <c:pt idx="28">
                  <c:v>10.950429400000001</c:v>
                </c:pt>
                <c:pt idx="29">
                  <c:v>11.229994100000001</c:v>
                </c:pt>
                <c:pt idx="30">
                  <c:v>11.5002563</c:v>
                </c:pt>
                <c:pt idx="31">
                  <c:v>11.765285199999999</c:v>
                </c:pt>
                <c:pt idx="32">
                  <c:v>12.0263422</c:v>
                </c:pt>
                <c:pt idx="33">
                  <c:v>12.283428499999999</c:v>
                </c:pt>
                <c:pt idx="34">
                  <c:v>12.536668000000001</c:v>
                </c:pt>
                <c:pt idx="35">
                  <c:v>12.786251999999999</c:v>
                </c:pt>
                <c:pt idx="36">
                  <c:v>13.032351999999999</c:v>
                </c:pt>
                <c:pt idx="37">
                  <c:v>13.275123000000001</c:v>
                </c:pt>
                <c:pt idx="38">
                  <c:v>13.514709699999999</c:v>
                </c:pt>
                <c:pt idx="39">
                  <c:v>13.7512475</c:v>
                </c:pt>
                <c:pt idx="40">
                  <c:v>13.9848631</c:v>
                </c:pt>
                <c:pt idx="41">
                  <c:v>14.2156757</c:v>
                </c:pt>
                <c:pt idx="42">
                  <c:v>14.443797200000001</c:v>
                </c:pt>
                <c:pt idx="43">
                  <c:v>14.669333099999999</c:v>
                </c:pt>
                <c:pt idx="44">
                  <c:v>14.8923825</c:v>
                </c:pt>
                <c:pt idx="45">
                  <c:v>15.113039000000001</c:v>
                </c:pt>
                <c:pt idx="46">
                  <c:v>15.331390900000001</c:v>
                </c:pt>
                <c:pt idx="47">
                  <c:v>15.547521700000001</c:v>
                </c:pt>
                <c:pt idx="48">
                  <c:v>15.761510100000001</c:v>
                </c:pt>
                <c:pt idx="49">
                  <c:v>15.9734307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3F-4BBD-9FD7-18AB81317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013984"/>
        <c:axId val="1339048032"/>
      </c:scatterChart>
      <c:valAx>
        <c:axId val="101301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Περιφερειακή</a:t>
                </a:r>
                <a:r>
                  <a:rPr lang="el-GR" baseline="0"/>
                  <a:t> μετατόπιση [</a:t>
                </a:r>
                <a:r>
                  <a:rPr lang="en-US" baseline="0"/>
                  <a:t>mm]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48032"/>
        <c:crosses val="autoZero"/>
        <c:crossBetween val="midCat"/>
      </c:valAx>
      <c:valAx>
        <c:axId val="133904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Διατμητική τάση [</a:t>
                </a:r>
                <a:r>
                  <a:rPr lang="en-US"/>
                  <a:t>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301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333374</xdr:colOff>
      <xdr:row>1</xdr:row>
      <xdr:rowOff>157161</xdr:rowOff>
    </xdr:from>
    <xdr:to>
      <xdr:col>23</xdr:col>
      <xdr:colOff>266699</xdr:colOff>
      <xdr:row>19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FC0928-C8DC-4DB8-BA37-FC7114CFA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52"/>
  <sheetViews>
    <sheetView tabSelected="1" workbookViewId="0">
      <selection activeCell="T25" sqref="T25"/>
    </sheetView>
  </sheetViews>
  <sheetFormatPr defaultRowHeight="15" x14ac:dyDescent="0.25"/>
  <cols>
    <col min="2" max="2" width="20.28515625" customWidth="1"/>
    <col min="3" max="3" width="23" customWidth="1"/>
    <col min="4" max="4" width="22" customWidth="1"/>
    <col min="13" max="13" width="12.5703125" customWidth="1"/>
    <col min="14" max="14" width="14" customWidth="1"/>
  </cols>
  <sheetData>
    <row r="1" spans="2:14" x14ac:dyDescent="0.25">
      <c r="B1" s="2"/>
      <c r="C1" s="2"/>
      <c r="D1" s="2"/>
      <c r="E1" s="2"/>
    </row>
    <row r="2" spans="2:14" x14ac:dyDescent="0.25">
      <c r="B2" s="4" t="s">
        <v>0</v>
      </c>
      <c r="C2" s="4"/>
      <c r="D2" s="2"/>
      <c r="E2" s="2"/>
      <c r="F2" s="6" t="s">
        <v>12</v>
      </c>
      <c r="G2" s="6"/>
      <c r="H2" s="6"/>
      <c r="I2" s="7"/>
      <c r="J2" s="7"/>
      <c r="K2" s="7"/>
      <c r="M2" s="6" t="s">
        <v>15</v>
      </c>
      <c r="N2" s="6"/>
    </row>
    <row r="3" spans="2:14" x14ac:dyDescent="0.25">
      <c r="B3" s="3" t="s">
        <v>1</v>
      </c>
      <c r="C3" s="3">
        <v>2500</v>
      </c>
      <c r="D3" s="2"/>
      <c r="E3" s="2"/>
      <c r="F3" s="1" t="s">
        <v>5</v>
      </c>
      <c r="G3" s="1" t="s">
        <v>13</v>
      </c>
      <c r="H3" s="1" t="s">
        <v>10</v>
      </c>
      <c r="I3" s="1"/>
      <c r="J3" s="1"/>
      <c r="K3" s="1"/>
      <c r="M3" s="8">
        <v>1.2800000000000001E-3</v>
      </c>
      <c r="N3">
        <v>0.39187691699999999</v>
      </c>
    </row>
    <row r="4" spans="2:14" x14ac:dyDescent="0.25">
      <c r="B4" s="3" t="s">
        <v>2</v>
      </c>
      <c r="C4" s="3">
        <v>1000</v>
      </c>
      <c r="D4" s="2"/>
      <c r="E4" s="2"/>
      <c r="F4" s="1">
        <v>100</v>
      </c>
      <c r="G4" s="1">
        <v>10.37</v>
      </c>
      <c r="H4" s="1" t="s">
        <v>14</v>
      </c>
      <c r="I4" s="1"/>
      <c r="J4" s="1"/>
      <c r="K4" s="1"/>
      <c r="M4" s="8">
        <v>2.5600000000000002E-3</v>
      </c>
      <c r="N4">
        <v>0.78375383399999998</v>
      </c>
    </row>
    <row r="5" spans="2:14" x14ac:dyDescent="0.25">
      <c r="B5" s="3" t="s">
        <v>3</v>
      </c>
      <c r="C5" s="3">
        <v>3</v>
      </c>
      <c r="D5" s="2"/>
      <c r="E5" s="2"/>
      <c r="F5" s="1">
        <v>50</v>
      </c>
      <c r="G5" s="1">
        <v>9.94</v>
      </c>
      <c r="H5" s="1">
        <f>(G5-G4)/G5*100</f>
        <v>-4.3259557344064357</v>
      </c>
      <c r="I5" s="1"/>
      <c r="J5" s="1"/>
      <c r="K5" s="1"/>
      <c r="M5" s="8">
        <v>3.8400000000000001E-3</v>
      </c>
      <c r="N5">
        <v>1.1756307500000001</v>
      </c>
    </row>
    <row r="6" spans="2:14" x14ac:dyDescent="0.25">
      <c r="B6" s="3" t="s">
        <v>4</v>
      </c>
      <c r="C6" s="5">
        <v>200000</v>
      </c>
      <c r="D6" s="2"/>
      <c r="E6" s="2"/>
      <c r="F6" s="1">
        <v>25</v>
      </c>
      <c r="G6" s="1">
        <v>9.84</v>
      </c>
      <c r="H6" s="1">
        <f>(G6-G5)/G6*100</f>
        <v>-1.0162601626016223</v>
      </c>
      <c r="I6" s="1"/>
      <c r="J6" s="1"/>
      <c r="K6" s="1"/>
      <c r="M6" s="8">
        <v>5.1200000000000004E-3</v>
      </c>
      <c r="N6">
        <v>1.5675076699999999</v>
      </c>
    </row>
    <row r="7" spans="2:14" x14ac:dyDescent="0.25">
      <c r="B7" s="3" t="s">
        <v>5</v>
      </c>
      <c r="C7" s="3">
        <v>0.3</v>
      </c>
      <c r="D7" s="2"/>
      <c r="E7" s="2"/>
      <c r="F7" s="1">
        <v>20</v>
      </c>
      <c r="G7" s="1">
        <v>9.83</v>
      </c>
      <c r="H7" s="1">
        <f>(G7-G6)/G7*100</f>
        <v>-0.10172939979653903</v>
      </c>
      <c r="I7" s="1"/>
      <c r="J7" s="1"/>
      <c r="K7" s="1"/>
      <c r="M7" s="8">
        <v>6.4000000000000003E-3</v>
      </c>
      <c r="N7">
        <v>1.95938459</v>
      </c>
    </row>
    <row r="8" spans="2:14" x14ac:dyDescent="0.25">
      <c r="B8" s="3"/>
      <c r="C8" s="3"/>
      <c r="D8" s="2"/>
      <c r="E8" s="2"/>
      <c r="F8" s="1">
        <v>10</v>
      </c>
      <c r="G8" s="1">
        <v>9.92</v>
      </c>
      <c r="H8" s="1">
        <f>(G8-G7)/G8*100</f>
        <v>0.90725806451612756</v>
      </c>
      <c r="I8" s="1"/>
      <c r="J8" s="1"/>
      <c r="K8" s="1"/>
      <c r="M8" s="8">
        <v>7.6800000000000002E-3</v>
      </c>
      <c r="N8">
        <v>2.3512615100000001</v>
      </c>
    </row>
    <row r="9" spans="2:14" x14ac:dyDescent="0.25">
      <c r="B9" s="3" t="s">
        <v>6</v>
      </c>
      <c r="C9" s="3">
        <f>5.35+4*(C4/C3)^2</f>
        <v>5.99</v>
      </c>
      <c r="D9" s="2"/>
      <c r="E9" s="2"/>
      <c r="F9" s="1"/>
      <c r="G9" s="1"/>
      <c r="H9" s="1"/>
      <c r="I9" s="1"/>
      <c r="J9" s="1"/>
      <c r="K9" s="1"/>
      <c r="M9" s="8">
        <v>8.9599999999999992E-3</v>
      </c>
      <c r="N9">
        <v>2.7431384300000001</v>
      </c>
    </row>
    <row r="10" spans="2:14" x14ac:dyDescent="0.25">
      <c r="B10" s="3" t="s">
        <v>7</v>
      </c>
      <c r="C10" s="3">
        <f>C6*C5^3/(12*(1-C7^2))</f>
        <v>494505.49450549448</v>
      </c>
      <c r="D10" s="2"/>
      <c r="E10" s="2"/>
      <c r="F10" s="1"/>
      <c r="G10" s="1"/>
      <c r="H10" s="1"/>
      <c r="I10" s="1"/>
      <c r="J10" s="1"/>
      <c r="K10" s="1"/>
      <c r="M10" s="8">
        <v>1.0240000000000001E-2</v>
      </c>
      <c r="N10">
        <v>3.1350153500000002</v>
      </c>
    </row>
    <row r="11" spans="2:14" x14ac:dyDescent="0.25">
      <c r="B11" s="1"/>
      <c r="C11" s="1"/>
      <c r="D11" s="3"/>
      <c r="E11" s="2"/>
      <c r="F11" s="1"/>
      <c r="G11" s="1"/>
      <c r="H11" s="1"/>
      <c r="I11" s="1"/>
      <c r="J11" s="1"/>
      <c r="K11" s="1"/>
      <c r="M11" s="8">
        <v>1.1520000000000001E-2</v>
      </c>
      <c r="N11">
        <v>3.5268922599999999</v>
      </c>
    </row>
    <row r="12" spans="2:14" x14ac:dyDescent="0.25">
      <c r="B12" s="3" t="s">
        <v>8</v>
      </c>
      <c r="C12" s="3" t="s">
        <v>9</v>
      </c>
      <c r="D12" s="1" t="s">
        <v>11</v>
      </c>
      <c r="E12" s="2"/>
      <c r="F12" s="1"/>
      <c r="G12" s="1"/>
      <c r="H12" s="1"/>
      <c r="I12" s="1"/>
      <c r="J12" s="1"/>
      <c r="K12" s="1"/>
      <c r="M12" s="8">
        <v>1.2800000000000001E-2</v>
      </c>
      <c r="N12">
        <v>3.91876918</v>
      </c>
    </row>
    <row r="13" spans="2:14" x14ac:dyDescent="0.25">
      <c r="B13" s="3">
        <f>C9*PI()^2*C10/(C4^2*C5)</f>
        <v>9.7448786311854807</v>
      </c>
      <c r="C13" s="1">
        <v>9.83</v>
      </c>
      <c r="D13" s="3">
        <f>(C13-B13)/B13*100</f>
        <v>0.87349850148071284</v>
      </c>
      <c r="E13" s="2"/>
      <c r="F13" s="1"/>
      <c r="G13" s="1"/>
      <c r="H13" s="1"/>
      <c r="I13" s="1"/>
      <c r="J13" s="1"/>
      <c r="K13" s="1"/>
      <c r="M13" s="8">
        <v>1.4080000000000001E-2</v>
      </c>
      <c r="N13">
        <v>4.3106460899999997</v>
      </c>
    </row>
    <row r="14" spans="2:14" x14ac:dyDescent="0.25">
      <c r="B14" s="3"/>
      <c r="C14" s="3"/>
      <c r="D14" s="3"/>
      <c r="E14" s="2"/>
      <c r="F14" s="1"/>
      <c r="G14" s="1"/>
      <c r="H14" s="1"/>
      <c r="I14" s="1"/>
      <c r="J14" s="1"/>
      <c r="K14" s="1"/>
      <c r="M14" s="8">
        <v>1.536E-2</v>
      </c>
      <c r="N14">
        <v>4.7025229900000003</v>
      </c>
    </row>
    <row r="15" spans="2:14" x14ac:dyDescent="0.25">
      <c r="B15" s="1"/>
      <c r="C15" s="1"/>
      <c r="D15" s="1"/>
      <c r="F15" s="1"/>
      <c r="G15" s="1"/>
      <c r="H15" s="1"/>
      <c r="I15" s="1"/>
      <c r="J15" s="1"/>
      <c r="K15" s="1"/>
      <c r="M15" s="8">
        <v>1.6639999999999999E-2</v>
      </c>
      <c r="N15">
        <v>5.0943998800000001</v>
      </c>
    </row>
    <row r="16" spans="2:14" x14ac:dyDescent="0.25">
      <c r="B16" s="1"/>
      <c r="C16" s="1"/>
      <c r="D16" s="1"/>
      <c r="F16" s="1"/>
      <c r="G16" s="1"/>
      <c r="H16" s="1"/>
      <c r="I16" s="1"/>
      <c r="J16" s="1"/>
      <c r="K16" s="1"/>
      <c r="M16" s="8">
        <v>1.7919999999999998E-2</v>
      </c>
      <c r="N16">
        <v>5.48627676</v>
      </c>
    </row>
    <row r="17" spans="2:14" x14ac:dyDescent="0.25">
      <c r="B17" s="1"/>
      <c r="C17" s="1"/>
      <c r="D17" s="1"/>
      <c r="F17" s="1"/>
      <c r="G17" s="1"/>
      <c r="H17" s="1"/>
      <c r="I17" s="1"/>
      <c r="J17" s="1"/>
      <c r="K17" s="1"/>
      <c r="M17" s="8">
        <v>1.9199999999999998E-2</v>
      </c>
      <c r="N17">
        <v>5.87815362</v>
      </c>
    </row>
    <row r="18" spans="2:14" x14ac:dyDescent="0.25">
      <c r="F18" s="1"/>
      <c r="G18" s="1"/>
      <c r="H18" s="1"/>
      <c r="I18" s="1"/>
      <c r="J18" s="1"/>
      <c r="K18" s="1"/>
      <c r="M18" s="8">
        <v>2.0480000000000002E-2</v>
      </c>
      <c r="N18">
        <v>6.2700304500000001</v>
      </c>
    </row>
    <row r="19" spans="2:14" x14ac:dyDescent="0.25">
      <c r="F19" s="1"/>
      <c r="G19" s="1"/>
      <c r="H19" s="1"/>
      <c r="I19" s="1"/>
      <c r="J19" s="1"/>
      <c r="K19" s="1"/>
      <c r="M19" s="8">
        <v>2.1760000000000002E-2</v>
      </c>
      <c r="N19">
        <v>6.6619072399999997</v>
      </c>
    </row>
    <row r="20" spans="2:14" x14ac:dyDescent="0.25">
      <c r="F20" s="1"/>
      <c r="G20" s="1"/>
      <c r="H20" s="1"/>
      <c r="I20" s="1"/>
      <c r="J20" s="1"/>
      <c r="K20" s="1"/>
      <c r="M20" s="8">
        <v>2.3040000000000001E-2</v>
      </c>
      <c r="N20">
        <v>7.0537839399999998</v>
      </c>
    </row>
    <row r="21" spans="2:14" x14ac:dyDescent="0.25">
      <c r="F21" s="1"/>
      <c r="G21" s="1"/>
      <c r="H21" s="1"/>
      <c r="I21" s="1"/>
      <c r="J21" s="1"/>
      <c r="K21" s="1"/>
      <c r="M21" s="8">
        <v>2.4320000000000001E-2</v>
      </c>
      <c r="N21">
        <v>7.4456605199999997</v>
      </c>
    </row>
    <row r="22" spans="2:14" x14ac:dyDescent="0.25">
      <c r="F22" s="1"/>
      <c r="G22" s="1"/>
      <c r="H22" s="1"/>
      <c r="I22" s="1"/>
      <c r="J22" s="1"/>
      <c r="K22" s="1"/>
      <c r="M22" s="8">
        <v>2.5600000000000001E-2</v>
      </c>
      <c r="N22">
        <v>7.8375368500000002</v>
      </c>
    </row>
    <row r="23" spans="2:14" x14ac:dyDescent="0.25">
      <c r="F23" s="1"/>
      <c r="G23" s="1"/>
      <c r="H23" s="1"/>
      <c r="I23" s="1"/>
      <c r="J23" s="1"/>
      <c r="K23" s="1"/>
      <c r="M23" s="8">
        <v>2.6880000000000001E-2</v>
      </c>
      <c r="N23">
        <v>8.2294126599999995</v>
      </c>
    </row>
    <row r="24" spans="2:14" x14ac:dyDescent="0.25">
      <c r="M24" s="8">
        <v>2.8160000000000001E-2</v>
      </c>
      <c r="N24">
        <v>8.6212871999999994</v>
      </c>
    </row>
    <row r="25" spans="2:14" x14ac:dyDescent="0.25">
      <c r="M25" s="8">
        <v>2.9440000000000001E-2</v>
      </c>
      <c r="N25">
        <v>9.01315752</v>
      </c>
    </row>
    <row r="26" spans="2:14" x14ac:dyDescent="0.25">
      <c r="M26" s="8">
        <v>3.0720000000000001E-2</v>
      </c>
      <c r="N26">
        <v>9.4050022999999996</v>
      </c>
    </row>
    <row r="27" spans="2:14" x14ac:dyDescent="0.25">
      <c r="M27" s="8">
        <v>3.2000000000000001E-2</v>
      </c>
      <c r="N27">
        <v>9.7941161999999995</v>
      </c>
    </row>
    <row r="28" spans="2:14" x14ac:dyDescent="0.25">
      <c r="M28" s="8">
        <v>3.3279999999999997E-2</v>
      </c>
      <c r="N28">
        <v>10.101807300000001</v>
      </c>
    </row>
    <row r="29" spans="2:14" x14ac:dyDescent="0.25">
      <c r="M29" s="8">
        <v>3.456E-2</v>
      </c>
      <c r="N29">
        <v>10.3877951</v>
      </c>
    </row>
    <row r="30" spans="2:14" x14ac:dyDescent="0.25">
      <c r="M30" s="8">
        <v>3.5839999999999997E-2</v>
      </c>
      <c r="N30">
        <v>10.6653486</v>
      </c>
    </row>
    <row r="31" spans="2:14" x14ac:dyDescent="0.25">
      <c r="M31" s="8">
        <v>3.712E-2</v>
      </c>
      <c r="N31">
        <v>10.950429400000001</v>
      </c>
    </row>
    <row r="32" spans="2:14" x14ac:dyDescent="0.25">
      <c r="M32" s="8">
        <v>3.8399999999999997E-2</v>
      </c>
      <c r="N32">
        <v>11.229994100000001</v>
      </c>
    </row>
    <row r="33" spans="13:14" x14ac:dyDescent="0.25">
      <c r="M33" s="8">
        <v>3.968E-2</v>
      </c>
      <c r="N33">
        <v>11.5002563</v>
      </c>
    </row>
    <row r="34" spans="13:14" x14ac:dyDescent="0.25">
      <c r="M34" s="8">
        <v>4.0960000000000003E-2</v>
      </c>
      <c r="N34">
        <v>11.765285199999999</v>
      </c>
    </row>
    <row r="35" spans="13:14" x14ac:dyDescent="0.25">
      <c r="M35" s="8">
        <v>4.224E-2</v>
      </c>
      <c r="N35">
        <v>12.0263422</v>
      </c>
    </row>
    <row r="36" spans="13:14" x14ac:dyDescent="0.25">
      <c r="M36" s="8">
        <v>4.3520000000000003E-2</v>
      </c>
      <c r="N36">
        <v>12.283428499999999</v>
      </c>
    </row>
    <row r="37" spans="13:14" x14ac:dyDescent="0.25">
      <c r="M37" s="8">
        <v>4.48E-2</v>
      </c>
      <c r="N37">
        <v>12.536668000000001</v>
      </c>
    </row>
    <row r="38" spans="13:14" x14ac:dyDescent="0.25">
      <c r="M38" s="8">
        <v>4.6080000000000003E-2</v>
      </c>
      <c r="N38">
        <v>12.786251999999999</v>
      </c>
    </row>
    <row r="39" spans="13:14" x14ac:dyDescent="0.25">
      <c r="M39" s="8">
        <v>4.7359999999999999E-2</v>
      </c>
      <c r="N39">
        <v>13.032351999999999</v>
      </c>
    </row>
    <row r="40" spans="13:14" x14ac:dyDescent="0.25">
      <c r="M40" s="8">
        <v>4.8640000000000003E-2</v>
      </c>
      <c r="N40">
        <v>13.275123000000001</v>
      </c>
    </row>
    <row r="41" spans="13:14" x14ac:dyDescent="0.25">
      <c r="M41" s="8">
        <v>4.9919999999999999E-2</v>
      </c>
      <c r="N41">
        <v>13.514709699999999</v>
      </c>
    </row>
    <row r="42" spans="13:14" x14ac:dyDescent="0.25">
      <c r="M42" s="8">
        <v>5.1200000000000002E-2</v>
      </c>
      <c r="N42">
        <v>13.7512475</v>
      </c>
    </row>
    <row r="43" spans="13:14" x14ac:dyDescent="0.25">
      <c r="M43" s="8">
        <v>5.2479999999999999E-2</v>
      </c>
      <c r="N43">
        <v>13.9848631</v>
      </c>
    </row>
    <row r="44" spans="13:14" x14ac:dyDescent="0.25">
      <c r="M44" s="8">
        <v>5.3760000000000002E-2</v>
      </c>
      <c r="N44">
        <v>14.2156757</v>
      </c>
    </row>
    <row r="45" spans="13:14" x14ac:dyDescent="0.25">
      <c r="M45" s="8">
        <v>5.5039999999999999E-2</v>
      </c>
      <c r="N45">
        <v>14.443797200000001</v>
      </c>
    </row>
    <row r="46" spans="13:14" x14ac:dyDescent="0.25">
      <c r="M46" s="8">
        <v>5.6320000000000002E-2</v>
      </c>
      <c r="N46">
        <v>14.669333099999999</v>
      </c>
    </row>
    <row r="47" spans="13:14" x14ac:dyDescent="0.25">
      <c r="M47" s="8">
        <v>5.7599999999999998E-2</v>
      </c>
      <c r="N47">
        <v>14.8923825</v>
      </c>
    </row>
    <row r="48" spans="13:14" x14ac:dyDescent="0.25">
      <c r="M48" s="8">
        <v>5.8880000000000002E-2</v>
      </c>
      <c r="N48">
        <v>15.113039000000001</v>
      </c>
    </row>
    <row r="49" spans="13:14" x14ac:dyDescent="0.25">
      <c r="M49" s="8">
        <v>6.0159999999999998E-2</v>
      </c>
      <c r="N49">
        <v>15.331390900000001</v>
      </c>
    </row>
    <row r="50" spans="13:14" x14ac:dyDescent="0.25">
      <c r="M50" s="8">
        <v>6.1440000000000002E-2</v>
      </c>
      <c r="N50">
        <v>15.547521700000001</v>
      </c>
    </row>
    <row r="51" spans="13:14" x14ac:dyDescent="0.25">
      <c r="M51" s="8">
        <v>6.2719999999999998E-2</v>
      </c>
      <c r="N51">
        <v>15.761510100000001</v>
      </c>
    </row>
    <row r="52" spans="13:14" x14ac:dyDescent="0.25">
      <c r="M52" s="8">
        <v>6.4000000000000001E-2</v>
      </c>
      <c r="N52">
        <v>15.9734307</v>
      </c>
    </row>
  </sheetData>
  <mergeCells count="3">
    <mergeCell ref="B2:C2"/>
    <mergeCell ref="F2:H2"/>
    <mergeCell ref="M2:N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Rigatos</dc:creator>
  <cp:lastModifiedBy>Nikos Rigatos</cp:lastModifiedBy>
  <dcterms:created xsi:type="dcterms:W3CDTF">2015-06-05T18:19:34Z</dcterms:created>
  <dcterms:modified xsi:type="dcterms:W3CDTF">2022-04-10T22:18:47Z</dcterms:modified>
</cp:coreProperties>
</file>