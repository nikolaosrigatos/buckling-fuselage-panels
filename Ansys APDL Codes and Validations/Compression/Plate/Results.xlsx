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Σπουδαστική &amp; Διπλωματική Εργασία\Διπλωματική Εργασία\3. Αριθμητικά Μοντέλα\ΑΜ και Επιβεβαιώσεις\1. Θλίψη\1. Επίπεδη Πλάκα\"/>
    </mc:Choice>
  </mc:AlternateContent>
  <xr:revisionPtr revIDLastSave="0" documentId="13_ncr:1_{3ACEEEE9-4E1A-4D00-998C-8E01BC9C9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9" i="1" s="1"/>
  <c r="B6" i="1"/>
  <c r="B11" i="1" s="1"/>
  <c r="G7" i="1" s="1"/>
  <c r="H7" i="1" s="1"/>
  <c r="F6" i="1" l="1"/>
  <c r="F7" i="1"/>
  <c r="F8" i="1"/>
  <c r="F5" i="1"/>
</calcChain>
</file>

<file path=xl/sharedStrings.xml><?xml version="1.0" encoding="utf-8"?>
<sst xmlns="http://schemas.openxmlformats.org/spreadsheetml/2006/main" count="21" uniqueCount="21">
  <si>
    <t>Έλεγχος σύγκλισης πλέγματος</t>
  </si>
  <si>
    <t>n</t>
  </si>
  <si>
    <t>σ_κρ</t>
  </si>
  <si>
    <t>δ (%)</t>
  </si>
  <si>
    <t>Eigenvalue</t>
  </si>
  <si>
    <t>a</t>
  </si>
  <si>
    <t>b</t>
  </si>
  <si>
    <t>t</t>
  </si>
  <si>
    <t>a/b</t>
  </si>
  <si>
    <t>E</t>
  </si>
  <si>
    <t>ν</t>
  </si>
  <si>
    <t>m</t>
  </si>
  <si>
    <t>k</t>
  </si>
  <si>
    <t>D</t>
  </si>
  <si>
    <t>δ1 (%(</t>
  </si>
  <si>
    <t>Lijian Qi</t>
  </si>
  <si>
    <t>FE</t>
  </si>
  <si>
    <t>Displacement</t>
  </si>
  <si>
    <t>Force</t>
  </si>
  <si>
    <t>TIME</t>
  </si>
  <si>
    <t xml:space="preserve">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</si>
</sst>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NumberFormat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00"/>
      <color rgb="FF006600"/>
      <color rgb="FF66CC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Έλεγχος</a:t>
            </a:r>
            <a:r>
              <a:rPr lang="el-GR" baseline="0"/>
              <a:t> σύγκλισης πλέγματος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69963345994493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Φύλλο1!$D$4:$D$8</c:f>
              <c:numCache>
                <c:formatCode>General</c:formatCode>
                <c:ptCount val="5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2.5</c:v>
                </c:pt>
              </c:numCache>
            </c:numRef>
          </c:xVal>
          <c:yVal>
            <c:numRef>
              <c:f>Φύλλο1!$E$4:$E$8</c:f>
              <c:numCache>
                <c:formatCode>General</c:formatCode>
                <c:ptCount val="5"/>
                <c:pt idx="0">
                  <c:v>17924.7</c:v>
                </c:pt>
                <c:pt idx="1">
                  <c:v>17522.8</c:v>
                </c:pt>
                <c:pt idx="2">
                  <c:v>17245.2</c:v>
                </c:pt>
                <c:pt idx="3">
                  <c:v>17082.3</c:v>
                </c:pt>
                <c:pt idx="4">
                  <c:v>17041.900000000001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0-4169-89C0-18955E28A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383088"/>
        <c:axId val="1091383920"/>
      </c:scatterChart>
      <c:valAx>
        <c:axId val="109138308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83920"/>
        <c:crosses val="autoZero"/>
        <c:crossBetween val="midCat"/>
      </c:valAx>
      <c:valAx>
        <c:axId val="10913839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8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 δύναμης - μετατόπισης</a:t>
            </a:r>
            <a:endParaRPr lang="en-US"/>
          </a:p>
        </c:rich>
      </c:tx>
      <c:layout>
        <c:manualLayout>
          <c:xMode val="edge"/>
          <c:yMode val="edge"/>
          <c:x val="0.21433202739377347"/>
          <c:y val="4.0387338389392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Αριθμητικό μοντέλο βιβλιογραφίας</c:v>
          </c:tx>
          <c:spPr>
            <a:ln w="19050" cap="rnd">
              <a:solidFill>
                <a:srgbClr val="0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Φύλλο1!$K$4:$K$95</c:f>
              <c:numCache>
                <c:formatCode>General</c:formatCode>
                <c:ptCount val="92"/>
                <c:pt idx="0" formatCode="0.00E+00">
                  <c:v>0</c:v>
                </c:pt>
                <c:pt idx="1">
                  <c:v>3.0375000999999999E-2</c:v>
                </c:pt>
                <c:pt idx="2">
                  <c:v>5.4675003E-2</c:v>
                </c:pt>
                <c:pt idx="3">
                  <c:v>7.2877419999999998E-2</c:v>
                </c:pt>
                <c:pt idx="4">
                  <c:v>9.1091129000000007E-2</c:v>
                </c:pt>
                <c:pt idx="5">
                  <c:v>0.10931613</c:v>
                </c:pt>
                <c:pt idx="6">
                  <c:v>0.133627423</c:v>
                </c:pt>
                <c:pt idx="7">
                  <c:v>0.15184113199999999</c:v>
                </c:pt>
                <c:pt idx="8">
                  <c:v>0.17006613200000001</c:v>
                </c:pt>
                <c:pt idx="9">
                  <c:v>0.19438871699999999</c:v>
                </c:pt>
                <c:pt idx="10">
                  <c:v>0.21259113399999999</c:v>
                </c:pt>
                <c:pt idx="11">
                  <c:v>0.236902427</c:v>
                </c:pt>
                <c:pt idx="12">
                  <c:v>0.26120242799999999</c:v>
                </c:pt>
                <c:pt idx="13">
                  <c:v>0.279450013</c:v>
                </c:pt>
                <c:pt idx="14">
                  <c:v>0.29158872200000002</c:v>
                </c:pt>
                <c:pt idx="15">
                  <c:v>0.30982501400000001</c:v>
                </c:pt>
                <c:pt idx="16">
                  <c:v>0.334125016</c:v>
                </c:pt>
                <c:pt idx="17">
                  <c:v>0.35235001599999999</c:v>
                </c:pt>
                <c:pt idx="18">
                  <c:v>0.37056372500000001</c:v>
                </c:pt>
                <c:pt idx="19">
                  <c:v>0.38878872599999997</c:v>
                </c:pt>
                <c:pt idx="20">
                  <c:v>0.40702501899999999</c:v>
                </c:pt>
                <c:pt idx="21">
                  <c:v>0.42525002000000001</c:v>
                </c:pt>
                <c:pt idx="22">
                  <c:v>0.45565889700000001</c:v>
                </c:pt>
                <c:pt idx="23">
                  <c:v>0.47387260599999997</c:v>
                </c:pt>
                <c:pt idx="24">
                  <c:v>0.498217774</c:v>
                </c:pt>
                <c:pt idx="25">
                  <c:v>0.52255165100000001</c:v>
                </c:pt>
                <c:pt idx="26">
                  <c:v>0.54690811100000003</c:v>
                </c:pt>
                <c:pt idx="27">
                  <c:v>0.57124198800000003</c:v>
                </c:pt>
                <c:pt idx="28">
                  <c:v>0.58947828000000002</c:v>
                </c:pt>
                <c:pt idx="29">
                  <c:v>0.61382344899999997</c:v>
                </c:pt>
                <c:pt idx="30">
                  <c:v>0.65034120100000004</c:v>
                </c:pt>
                <c:pt idx="31">
                  <c:v>0.68078395400000002</c:v>
                </c:pt>
                <c:pt idx="32">
                  <c:v>0.71119283</c:v>
                </c:pt>
                <c:pt idx="33">
                  <c:v>0.74772187499999998</c:v>
                </c:pt>
                <c:pt idx="34">
                  <c:v>0.78425091899999999</c:v>
                </c:pt>
                <c:pt idx="35">
                  <c:v>0.80858479599999999</c:v>
                </c:pt>
                <c:pt idx="36">
                  <c:v>0.84510254900000004</c:v>
                </c:pt>
                <c:pt idx="37">
                  <c:v>0.88771788500000004</c:v>
                </c:pt>
                <c:pt idx="38">
                  <c:v>0.91205176200000004</c:v>
                </c:pt>
                <c:pt idx="39">
                  <c:v>0.95467838999999999</c:v>
                </c:pt>
                <c:pt idx="40">
                  <c:v>0.99118485099999998</c:v>
                </c:pt>
                <c:pt idx="41">
                  <c:v>1.02160502</c:v>
                </c:pt>
                <c:pt idx="42">
                  <c:v>1.0581340640000001</c:v>
                </c:pt>
                <c:pt idx="43">
                  <c:v>1.0885655249999999</c:v>
                </c:pt>
                <c:pt idx="44">
                  <c:v>1.125094569</c:v>
                </c:pt>
                <c:pt idx="45">
                  <c:v>1.1737736139999999</c:v>
                </c:pt>
                <c:pt idx="46">
                  <c:v>1.210280075</c:v>
                </c:pt>
                <c:pt idx="47">
                  <c:v>1.2407228269999999</c:v>
                </c:pt>
                <c:pt idx="48">
                  <c:v>1.2894244560000001</c:v>
                </c:pt>
                <c:pt idx="49">
                  <c:v>1.332039792</c:v>
                </c:pt>
                <c:pt idx="50">
                  <c:v>1.374655129</c:v>
                </c:pt>
                <c:pt idx="51">
                  <c:v>1.43551805</c:v>
                </c:pt>
                <c:pt idx="52">
                  <c:v>1.4659608019999999</c:v>
                </c:pt>
                <c:pt idx="53">
                  <c:v>1.496380971</c:v>
                </c:pt>
                <c:pt idx="54">
                  <c:v>1.5268124320000001</c:v>
                </c:pt>
                <c:pt idx="55">
                  <c:v>1.563341476</c:v>
                </c:pt>
                <c:pt idx="56">
                  <c:v>1.599859229</c:v>
                </c:pt>
                <c:pt idx="57">
                  <c:v>1.6363882729999999</c:v>
                </c:pt>
                <c:pt idx="58">
                  <c:v>1.6850786099999999</c:v>
                </c:pt>
                <c:pt idx="59">
                  <c:v>1.721596363</c:v>
                </c:pt>
                <c:pt idx="60">
                  <c:v>1.7581254070000001</c:v>
                </c:pt>
                <c:pt idx="61">
                  <c:v>1.794631868</c:v>
                </c:pt>
                <c:pt idx="62">
                  <c:v>1.8555286639999999</c:v>
                </c:pt>
                <c:pt idx="63">
                  <c:v>1.885960125</c:v>
                </c:pt>
                <c:pt idx="64">
                  <c:v>1.9285528780000001</c:v>
                </c:pt>
                <c:pt idx="65">
                  <c:v>1.95899563</c:v>
                </c:pt>
                <c:pt idx="66">
                  <c:v>1.995524675</c:v>
                </c:pt>
                <c:pt idx="67">
                  <c:v>2.0442375949999998</c:v>
                </c:pt>
                <c:pt idx="68">
                  <c:v>2.0807553479999998</c:v>
                </c:pt>
                <c:pt idx="69">
                  <c:v>2.1172730999999998</c:v>
                </c:pt>
                <c:pt idx="70">
                  <c:v>2.1537908529999998</c:v>
                </c:pt>
                <c:pt idx="71">
                  <c:v>2.1903311890000001</c:v>
                </c:pt>
                <c:pt idx="72">
                  <c:v>2.2268489420000002</c:v>
                </c:pt>
                <c:pt idx="73">
                  <c:v>2.2755505700000001</c:v>
                </c:pt>
                <c:pt idx="74">
                  <c:v>2.3181433230000001</c:v>
                </c:pt>
                <c:pt idx="75">
                  <c:v>2.3790514119999999</c:v>
                </c:pt>
                <c:pt idx="76">
                  <c:v>2.427730457</c:v>
                </c:pt>
                <c:pt idx="77">
                  <c:v>2.4642707929999998</c:v>
                </c:pt>
                <c:pt idx="78">
                  <c:v>2.5129724219999998</c:v>
                </c:pt>
                <c:pt idx="79">
                  <c:v>2.5616853420000001</c:v>
                </c:pt>
                <c:pt idx="80">
                  <c:v>2.5921055110000002</c:v>
                </c:pt>
                <c:pt idx="81">
                  <c:v>2.6529571399999998</c:v>
                </c:pt>
                <c:pt idx="82">
                  <c:v>2.6286345550000001</c:v>
                </c:pt>
                <c:pt idx="83">
                  <c:v>2.69559506</c:v>
                </c:pt>
                <c:pt idx="84">
                  <c:v>2.738221689</c:v>
                </c:pt>
                <c:pt idx="85">
                  <c:v>2.7930209009999998</c:v>
                </c:pt>
                <c:pt idx="86">
                  <c:v>2.8173660699999998</c:v>
                </c:pt>
                <c:pt idx="87">
                  <c:v>2.8477862379999999</c:v>
                </c:pt>
                <c:pt idx="88">
                  <c:v>2.9025967430000001</c:v>
                </c:pt>
                <c:pt idx="89">
                  <c:v>2.9330282030000001</c:v>
                </c:pt>
                <c:pt idx="90">
                  <c:v>2.9634935389999999</c:v>
                </c:pt>
                <c:pt idx="91">
                  <c:v>2.9939249999999999</c:v>
                </c:pt>
              </c:numCache>
            </c:numRef>
          </c:xVal>
          <c:yVal>
            <c:numRef>
              <c:f>Φύλλο1!$L$4:$L$95</c:f>
              <c:numCache>
                <c:formatCode>General</c:formatCode>
                <c:ptCount val="92"/>
                <c:pt idx="0">
                  <c:v>0.10555595299999999</c:v>
                </c:pt>
                <c:pt idx="1">
                  <c:v>1.0544868060000001</c:v>
                </c:pt>
                <c:pt idx="2">
                  <c:v>1.8980762499999999</c:v>
                </c:pt>
                <c:pt idx="3">
                  <c:v>2.7418802389999999</c:v>
                </c:pt>
                <c:pt idx="4">
                  <c:v>3.4801282750000002</c:v>
                </c:pt>
                <c:pt idx="5">
                  <c:v>4.1128203579999996</c:v>
                </c:pt>
                <c:pt idx="6">
                  <c:v>4.85085385</c:v>
                </c:pt>
                <c:pt idx="7">
                  <c:v>5.5891018859999999</c:v>
                </c:pt>
                <c:pt idx="8">
                  <c:v>6.2217939690000001</c:v>
                </c:pt>
                <c:pt idx="9">
                  <c:v>6.8542715080000001</c:v>
                </c:pt>
                <c:pt idx="10">
                  <c:v>7.6980754969999996</c:v>
                </c:pt>
                <c:pt idx="11">
                  <c:v>8.4361089889999992</c:v>
                </c:pt>
                <c:pt idx="12">
                  <c:v>9.2796984330000001</c:v>
                </c:pt>
                <c:pt idx="13">
                  <c:v>9.7012786109999993</c:v>
                </c:pt>
                <c:pt idx="14">
                  <c:v>10.228629290000001</c:v>
                </c:pt>
                <c:pt idx="15">
                  <c:v>10.755765419999999</c:v>
                </c:pt>
                <c:pt idx="16">
                  <c:v>11.59935486</c:v>
                </c:pt>
                <c:pt idx="17">
                  <c:v>12.23204694</c:v>
                </c:pt>
                <c:pt idx="18">
                  <c:v>12.97029498</c:v>
                </c:pt>
                <c:pt idx="19">
                  <c:v>13.60298706</c:v>
                </c:pt>
                <c:pt idx="20">
                  <c:v>14.130123190000001</c:v>
                </c:pt>
                <c:pt idx="21">
                  <c:v>14.76281528</c:v>
                </c:pt>
                <c:pt idx="22">
                  <c:v>15.50063422</c:v>
                </c:pt>
                <c:pt idx="23">
                  <c:v>16.23888226</c:v>
                </c:pt>
                <c:pt idx="24">
                  <c:v>16.660247890000001</c:v>
                </c:pt>
                <c:pt idx="25">
                  <c:v>17.187169480000001</c:v>
                </c:pt>
                <c:pt idx="26">
                  <c:v>17.502979159999999</c:v>
                </c:pt>
                <c:pt idx="27">
                  <c:v>18.029900739999999</c:v>
                </c:pt>
                <c:pt idx="28">
                  <c:v>18.557036879999998</c:v>
                </c:pt>
                <c:pt idx="29">
                  <c:v>18.978402509999999</c:v>
                </c:pt>
                <c:pt idx="30">
                  <c:v>19.610450960000001</c:v>
                </c:pt>
                <c:pt idx="31">
                  <c:v>20.03160205</c:v>
                </c:pt>
                <c:pt idx="32">
                  <c:v>20.76942099</c:v>
                </c:pt>
                <c:pt idx="33">
                  <c:v>21.29591349</c:v>
                </c:pt>
                <c:pt idx="34">
                  <c:v>21.82240599</c:v>
                </c:pt>
                <c:pt idx="35">
                  <c:v>22.34932757</c:v>
                </c:pt>
                <c:pt idx="36">
                  <c:v>22.981376019999999</c:v>
                </c:pt>
                <c:pt idx="37">
                  <c:v>23.61320993</c:v>
                </c:pt>
                <c:pt idx="38">
                  <c:v>24.14013151</c:v>
                </c:pt>
                <c:pt idx="39">
                  <c:v>24.666409460000001</c:v>
                </c:pt>
                <c:pt idx="40">
                  <c:v>25.40401387</c:v>
                </c:pt>
                <c:pt idx="41">
                  <c:v>26.036276860000001</c:v>
                </c:pt>
                <c:pt idx="42">
                  <c:v>26.562769360000001</c:v>
                </c:pt>
                <c:pt idx="43">
                  <c:v>27.089476399999999</c:v>
                </c:pt>
                <c:pt idx="44">
                  <c:v>27.615968890000001</c:v>
                </c:pt>
                <c:pt idx="45">
                  <c:v>28.564256109999999</c:v>
                </c:pt>
                <c:pt idx="46">
                  <c:v>29.301860520000002</c:v>
                </c:pt>
                <c:pt idx="47">
                  <c:v>29.7230116</c:v>
                </c:pt>
                <c:pt idx="48">
                  <c:v>30.460186920000002</c:v>
                </c:pt>
                <c:pt idx="49">
                  <c:v>31.092020819999998</c:v>
                </c:pt>
                <c:pt idx="50">
                  <c:v>31.723854729999999</c:v>
                </c:pt>
                <c:pt idx="51">
                  <c:v>32.777268810000002</c:v>
                </c:pt>
                <c:pt idx="52">
                  <c:v>33.198419899999998</c:v>
                </c:pt>
                <c:pt idx="53">
                  <c:v>33.830682889999999</c:v>
                </c:pt>
                <c:pt idx="54">
                  <c:v>34.357389929999997</c:v>
                </c:pt>
                <c:pt idx="55">
                  <c:v>34.88388243</c:v>
                </c:pt>
                <c:pt idx="56">
                  <c:v>35.515930879999999</c:v>
                </c:pt>
                <c:pt idx="57">
                  <c:v>36.042423380000002</c:v>
                </c:pt>
                <c:pt idx="58">
                  <c:v>36.885154640000003</c:v>
                </c:pt>
                <c:pt idx="59">
                  <c:v>37.517203090000002</c:v>
                </c:pt>
                <c:pt idx="60">
                  <c:v>38.043695589999999</c:v>
                </c:pt>
                <c:pt idx="61">
                  <c:v>38.781299990000001</c:v>
                </c:pt>
                <c:pt idx="62">
                  <c:v>39.518046210000001</c:v>
                </c:pt>
                <c:pt idx="63">
                  <c:v>40.044753249999999</c:v>
                </c:pt>
                <c:pt idx="64">
                  <c:v>40.887699069999996</c:v>
                </c:pt>
                <c:pt idx="65">
                  <c:v>41.308850149999998</c:v>
                </c:pt>
                <c:pt idx="66">
                  <c:v>41.835342650000001</c:v>
                </c:pt>
                <c:pt idx="67">
                  <c:v>42.466962010000003</c:v>
                </c:pt>
                <c:pt idx="68">
                  <c:v>43.099010460000002</c:v>
                </c:pt>
                <c:pt idx="69">
                  <c:v>43.731058910000002</c:v>
                </c:pt>
                <c:pt idx="70">
                  <c:v>44.363107360000001</c:v>
                </c:pt>
                <c:pt idx="71">
                  <c:v>44.7840439</c:v>
                </c:pt>
                <c:pt idx="72">
                  <c:v>45.41609235</c:v>
                </c:pt>
                <c:pt idx="73">
                  <c:v>46.153267669999998</c:v>
                </c:pt>
                <c:pt idx="74">
                  <c:v>46.996213480000002</c:v>
                </c:pt>
                <c:pt idx="75">
                  <c:v>47.627403749999999</c:v>
                </c:pt>
                <c:pt idx="76">
                  <c:v>48.575690969999997</c:v>
                </c:pt>
                <c:pt idx="77">
                  <c:v>48.996627510000003</c:v>
                </c:pt>
                <c:pt idx="78">
                  <c:v>49.733802820000001</c:v>
                </c:pt>
                <c:pt idx="79">
                  <c:v>50.365422180000003</c:v>
                </c:pt>
                <c:pt idx="80">
                  <c:v>50.997685179999998</c:v>
                </c:pt>
                <c:pt idx="81">
                  <c:v>52.156655209999997</c:v>
                </c:pt>
                <c:pt idx="82">
                  <c:v>51.52417767</c:v>
                </c:pt>
                <c:pt idx="83">
                  <c:v>52.577377210000002</c:v>
                </c:pt>
                <c:pt idx="84">
                  <c:v>53.103655160000002</c:v>
                </c:pt>
                <c:pt idx="85">
                  <c:v>53.840615929999998</c:v>
                </c:pt>
                <c:pt idx="86">
                  <c:v>54.261981560000002</c:v>
                </c:pt>
                <c:pt idx="87">
                  <c:v>54.894244559999997</c:v>
                </c:pt>
                <c:pt idx="88">
                  <c:v>55.525649369999996</c:v>
                </c:pt>
                <c:pt idx="89">
                  <c:v>56.052356420000002</c:v>
                </c:pt>
                <c:pt idx="90">
                  <c:v>56.262395599999998</c:v>
                </c:pt>
                <c:pt idx="91">
                  <c:v>56.789102640000003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EE-4189-8D87-D21EE39BA637}"/>
            </c:ext>
          </c:extLst>
        </c:ser>
        <c:ser>
          <c:idx val="1"/>
          <c:order val="1"/>
          <c:tx>
            <c:v>Αριθμητικό μοντέλο</c:v>
          </c:tx>
          <c:spPr>
            <a:ln w="63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Φύλλο1!$N$4:$N$53</c:f>
              <c:numCache>
                <c:formatCode>General</c:formatCode>
                <c:ptCount val="50"/>
                <c:pt idx="0" formatCode="0.00E+0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</c:v>
                </c:pt>
                <c:pt idx="5">
                  <c:v>0.36</c:v>
                </c:pt>
                <c:pt idx="6">
                  <c:v>0.42</c:v>
                </c:pt>
                <c:pt idx="7">
                  <c:v>0.48</c:v>
                </c:pt>
                <c:pt idx="8">
                  <c:v>0.54</c:v>
                </c:pt>
                <c:pt idx="9">
                  <c:v>0.6</c:v>
                </c:pt>
                <c:pt idx="10">
                  <c:v>0.66</c:v>
                </c:pt>
                <c:pt idx="11">
                  <c:v>0.72</c:v>
                </c:pt>
                <c:pt idx="12">
                  <c:v>0.78</c:v>
                </c:pt>
                <c:pt idx="13">
                  <c:v>0.84</c:v>
                </c:pt>
                <c:pt idx="14">
                  <c:v>0.9</c:v>
                </c:pt>
                <c:pt idx="15">
                  <c:v>0.96</c:v>
                </c:pt>
                <c:pt idx="16">
                  <c:v>1.02</c:v>
                </c:pt>
                <c:pt idx="17">
                  <c:v>1.08</c:v>
                </c:pt>
                <c:pt idx="18">
                  <c:v>1.1399999999999999</c:v>
                </c:pt>
                <c:pt idx="19">
                  <c:v>1.2</c:v>
                </c:pt>
                <c:pt idx="20">
                  <c:v>1.26</c:v>
                </c:pt>
                <c:pt idx="21">
                  <c:v>1.32</c:v>
                </c:pt>
                <c:pt idx="22">
                  <c:v>1.38</c:v>
                </c:pt>
                <c:pt idx="23">
                  <c:v>1.44</c:v>
                </c:pt>
                <c:pt idx="24">
                  <c:v>1.5</c:v>
                </c:pt>
                <c:pt idx="25">
                  <c:v>1.56</c:v>
                </c:pt>
                <c:pt idx="26">
                  <c:v>1.62</c:v>
                </c:pt>
                <c:pt idx="27">
                  <c:v>1.68</c:v>
                </c:pt>
                <c:pt idx="28">
                  <c:v>1.74</c:v>
                </c:pt>
                <c:pt idx="29">
                  <c:v>1.8</c:v>
                </c:pt>
                <c:pt idx="30">
                  <c:v>1.86</c:v>
                </c:pt>
                <c:pt idx="31">
                  <c:v>1.92</c:v>
                </c:pt>
                <c:pt idx="32">
                  <c:v>1.98</c:v>
                </c:pt>
                <c:pt idx="33">
                  <c:v>2.04</c:v>
                </c:pt>
                <c:pt idx="34">
                  <c:v>2.1</c:v>
                </c:pt>
                <c:pt idx="35">
                  <c:v>2.16</c:v>
                </c:pt>
                <c:pt idx="36">
                  <c:v>2.2200000000000002</c:v>
                </c:pt>
                <c:pt idx="37">
                  <c:v>2.2799999999999998</c:v>
                </c:pt>
                <c:pt idx="38">
                  <c:v>2.34</c:v>
                </c:pt>
                <c:pt idx="39">
                  <c:v>2.4</c:v>
                </c:pt>
                <c:pt idx="40">
                  <c:v>2.46</c:v>
                </c:pt>
                <c:pt idx="41">
                  <c:v>2.52</c:v>
                </c:pt>
                <c:pt idx="42">
                  <c:v>2.58</c:v>
                </c:pt>
                <c:pt idx="43">
                  <c:v>2.64</c:v>
                </c:pt>
                <c:pt idx="44">
                  <c:v>2.7</c:v>
                </c:pt>
                <c:pt idx="45">
                  <c:v>2.76</c:v>
                </c:pt>
                <c:pt idx="46">
                  <c:v>2.82</c:v>
                </c:pt>
                <c:pt idx="47">
                  <c:v>2.88</c:v>
                </c:pt>
                <c:pt idx="48">
                  <c:v>2.94</c:v>
                </c:pt>
                <c:pt idx="49">
                  <c:v>3</c:v>
                </c:pt>
              </c:numCache>
            </c:numRef>
          </c:xVal>
          <c:yVal>
            <c:numRef>
              <c:f>Φύλλο1!$O$4:$O$53</c:f>
              <c:numCache>
                <c:formatCode>General</c:formatCode>
                <c:ptCount val="50"/>
                <c:pt idx="0">
                  <c:v>2.0992250100000001</c:v>
                </c:pt>
                <c:pt idx="1">
                  <c:v>4.1984700000000004</c:v>
                </c:pt>
                <c:pt idx="2">
                  <c:v>6.2972765600000002</c:v>
                </c:pt>
                <c:pt idx="3">
                  <c:v>8.3944907499999992</c:v>
                </c:pt>
                <c:pt idx="4">
                  <c:v>10.486988999999999</c:v>
                </c:pt>
                <c:pt idx="5">
                  <c:v>12.563473999999999</c:v>
                </c:pt>
                <c:pt idx="6">
                  <c:v>14.5662044</c:v>
                </c:pt>
                <c:pt idx="7">
                  <c:v>16.2498343</c:v>
                </c:pt>
                <c:pt idx="8">
                  <c:v>17.5374458</c:v>
                </c:pt>
                <c:pt idx="9">
                  <c:v>18.679335600000002</c:v>
                </c:pt>
                <c:pt idx="10">
                  <c:v>19.771928599999999</c:v>
                </c:pt>
                <c:pt idx="11">
                  <c:v>20.840395099999999</c:v>
                </c:pt>
                <c:pt idx="12">
                  <c:v>21.894265999999998</c:v>
                </c:pt>
                <c:pt idx="13">
                  <c:v>22.934978300000001</c:v>
                </c:pt>
                <c:pt idx="14">
                  <c:v>23.9713092</c:v>
                </c:pt>
                <c:pt idx="15">
                  <c:v>25.0006445</c:v>
                </c:pt>
                <c:pt idx="16">
                  <c:v>26.023447999999998</c:v>
                </c:pt>
                <c:pt idx="17">
                  <c:v>27.040492499999999</c:v>
                </c:pt>
                <c:pt idx="18">
                  <c:v>28.052193299999999</c:v>
                </c:pt>
                <c:pt idx="19">
                  <c:v>29.0588102</c:v>
                </c:pt>
                <c:pt idx="20">
                  <c:v>30.0605197</c:v>
                </c:pt>
                <c:pt idx="21">
                  <c:v>31.057440199999998</c:v>
                </c:pt>
                <c:pt idx="22">
                  <c:v>32.049648599999998</c:v>
                </c:pt>
                <c:pt idx="23">
                  <c:v>33.037191100000001</c:v>
                </c:pt>
                <c:pt idx="24">
                  <c:v>34.020090799999998</c:v>
                </c:pt>
                <c:pt idx="25">
                  <c:v>34.998352699999998</c:v>
                </c:pt>
                <c:pt idx="26">
                  <c:v>35.971967100000001</c:v>
                </c:pt>
                <c:pt idx="27">
                  <c:v>36.940913000000002</c:v>
                </c:pt>
                <c:pt idx="28">
                  <c:v>37.905159599999998</c:v>
                </c:pt>
                <c:pt idx="29">
                  <c:v>38.864668500000001</c:v>
                </c:pt>
                <c:pt idx="30">
                  <c:v>39.819394699999997</c:v>
                </c:pt>
                <c:pt idx="31">
                  <c:v>40.769288000000003</c:v>
                </c:pt>
                <c:pt idx="32">
                  <c:v>41.714294000000002</c:v>
                </c:pt>
                <c:pt idx="33">
                  <c:v>42.654355099999997</c:v>
                </c:pt>
                <c:pt idx="34">
                  <c:v>43.589410999999998</c:v>
                </c:pt>
                <c:pt idx="35">
                  <c:v>44.519399800000002</c:v>
                </c:pt>
                <c:pt idx="36">
                  <c:v>45.444258599999998</c:v>
                </c:pt>
                <c:pt idx="37">
                  <c:v>46.3639242</c:v>
                </c:pt>
                <c:pt idx="38">
                  <c:v>47.2783339</c:v>
                </c:pt>
                <c:pt idx="39">
                  <c:v>48.187426000000002</c:v>
                </c:pt>
                <c:pt idx="40">
                  <c:v>49.091140500000002</c:v>
                </c:pt>
                <c:pt idx="41">
                  <c:v>49.989419499999997</c:v>
                </c:pt>
                <c:pt idx="42">
                  <c:v>50.882208400000003</c:v>
                </c:pt>
                <c:pt idx="43">
                  <c:v>51.769455600000001</c:v>
                </c:pt>
                <c:pt idx="44">
                  <c:v>52.651113899999999</c:v>
                </c:pt>
                <c:pt idx="45">
                  <c:v>53.527140099999997</c:v>
                </c:pt>
                <c:pt idx="46">
                  <c:v>54.3974963</c:v>
                </c:pt>
                <c:pt idx="47">
                  <c:v>55.262149700000002</c:v>
                </c:pt>
                <c:pt idx="48">
                  <c:v>56.121072900000001</c:v>
                </c:pt>
                <c:pt idx="49">
                  <c:v>56.974242799999999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EE-4189-8D87-D21EE39BA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591584"/>
        <c:axId val="1271594912"/>
      </c:scatterChart>
      <c:valAx>
        <c:axId val="12715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 μετατόπιση [</a:t>
                </a:r>
                <a:r>
                  <a:rPr lang="en-US"/>
                  <a:t>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94912"/>
        <c:crosses val="autoZero"/>
        <c:crossBetween val="midCat"/>
      </c:valAx>
      <c:valAx>
        <c:axId val="12715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 δύναμη [</a:t>
                </a:r>
                <a:r>
                  <a:rPr lang="en-US"/>
                  <a:t>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9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Load - Displacement Curve</a:t>
            </a:r>
            <a:endParaRPr lang="en-US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Reference Numerical Model</c:v>
          </c:tx>
          <c:spPr>
            <a:ln w="19050" cap="rnd">
              <a:solidFill>
                <a:srgbClr val="0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Φύλλο1!$K$4:$K$95</c:f>
              <c:numCache>
                <c:formatCode>General</c:formatCode>
                <c:ptCount val="92"/>
                <c:pt idx="0" formatCode="0.00E+00">
                  <c:v>0</c:v>
                </c:pt>
                <c:pt idx="1">
                  <c:v>3.0375000999999999E-2</c:v>
                </c:pt>
                <c:pt idx="2">
                  <c:v>5.4675003E-2</c:v>
                </c:pt>
                <c:pt idx="3">
                  <c:v>7.2877419999999998E-2</c:v>
                </c:pt>
                <c:pt idx="4">
                  <c:v>9.1091129000000007E-2</c:v>
                </c:pt>
                <c:pt idx="5">
                  <c:v>0.10931613</c:v>
                </c:pt>
                <c:pt idx="6">
                  <c:v>0.133627423</c:v>
                </c:pt>
                <c:pt idx="7">
                  <c:v>0.15184113199999999</c:v>
                </c:pt>
                <c:pt idx="8">
                  <c:v>0.17006613200000001</c:v>
                </c:pt>
                <c:pt idx="9">
                  <c:v>0.19438871699999999</c:v>
                </c:pt>
                <c:pt idx="10">
                  <c:v>0.21259113399999999</c:v>
                </c:pt>
                <c:pt idx="11">
                  <c:v>0.236902427</c:v>
                </c:pt>
                <c:pt idx="12">
                  <c:v>0.26120242799999999</c:v>
                </c:pt>
                <c:pt idx="13">
                  <c:v>0.279450013</c:v>
                </c:pt>
                <c:pt idx="14">
                  <c:v>0.29158872200000002</c:v>
                </c:pt>
                <c:pt idx="15">
                  <c:v>0.30982501400000001</c:v>
                </c:pt>
                <c:pt idx="16">
                  <c:v>0.334125016</c:v>
                </c:pt>
                <c:pt idx="17">
                  <c:v>0.35235001599999999</c:v>
                </c:pt>
                <c:pt idx="18">
                  <c:v>0.37056372500000001</c:v>
                </c:pt>
                <c:pt idx="19">
                  <c:v>0.38878872599999997</c:v>
                </c:pt>
                <c:pt idx="20">
                  <c:v>0.40702501899999999</c:v>
                </c:pt>
                <c:pt idx="21">
                  <c:v>0.42525002000000001</c:v>
                </c:pt>
                <c:pt idx="22">
                  <c:v>0.45565889700000001</c:v>
                </c:pt>
                <c:pt idx="23">
                  <c:v>0.47387260599999997</c:v>
                </c:pt>
                <c:pt idx="24">
                  <c:v>0.498217774</c:v>
                </c:pt>
                <c:pt idx="25">
                  <c:v>0.52255165100000001</c:v>
                </c:pt>
                <c:pt idx="26">
                  <c:v>0.54690811100000003</c:v>
                </c:pt>
                <c:pt idx="27">
                  <c:v>0.57124198800000003</c:v>
                </c:pt>
                <c:pt idx="28">
                  <c:v>0.58947828000000002</c:v>
                </c:pt>
                <c:pt idx="29">
                  <c:v>0.61382344899999997</c:v>
                </c:pt>
                <c:pt idx="30">
                  <c:v>0.65034120100000004</c:v>
                </c:pt>
                <c:pt idx="31">
                  <c:v>0.68078395400000002</c:v>
                </c:pt>
                <c:pt idx="32">
                  <c:v>0.71119283</c:v>
                </c:pt>
                <c:pt idx="33">
                  <c:v>0.74772187499999998</c:v>
                </c:pt>
                <c:pt idx="34">
                  <c:v>0.78425091899999999</c:v>
                </c:pt>
                <c:pt idx="35">
                  <c:v>0.80858479599999999</c:v>
                </c:pt>
                <c:pt idx="36">
                  <c:v>0.84510254900000004</c:v>
                </c:pt>
                <c:pt idx="37">
                  <c:v>0.88771788500000004</c:v>
                </c:pt>
                <c:pt idx="38">
                  <c:v>0.91205176200000004</c:v>
                </c:pt>
                <c:pt idx="39">
                  <c:v>0.95467838999999999</c:v>
                </c:pt>
                <c:pt idx="40">
                  <c:v>0.99118485099999998</c:v>
                </c:pt>
                <c:pt idx="41">
                  <c:v>1.02160502</c:v>
                </c:pt>
                <c:pt idx="42">
                  <c:v>1.0581340640000001</c:v>
                </c:pt>
                <c:pt idx="43">
                  <c:v>1.0885655249999999</c:v>
                </c:pt>
                <c:pt idx="44">
                  <c:v>1.125094569</c:v>
                </c:pt>
                <c:pt idx="45">
                  <c:v>1.1737736139999999</c:v>
                </c:pt>
                <c:pt idx="46">
                  <c:v>1.210280075</c:v>
                </c:pt>
                <c:pt idx="47">
                  <c:v>1.2407228269999999</c:v>
                </c:pt>
                <c:pt idx="48">
                  <c:v>1.2894244560000001</c:v>
                </c:pt>
                <c:pt idx="49">
                  <c:v>1.332039792</c:v>
                </c:pt>
                <c:pt idx="50">
                  <c:v>1.374655129</c:v>
                </c:pt>
                <c:pt idx="51">
                  <c:v>1.43551805</c:v>
                </c:pt>
                <c:pt idx="52">
                  <c:v>1.4659608019999999</c:v>
                </c:pt>
                <c:pt idx="53">
                  <c:v>1.496380971</c:v>
                </c:pt>
                <c:pt idx="54">
                  <c:v>1.5268124320000001</c:v>
                </c:pt>
                <c:pt idx="55">
                  <c:v>1.563341476</c:v>
                </c:pt>
                <c:pt idx="56">
                  <c:v>1.599859229</c:v>
                </c:pt>
                <c:pt idx="57">
                  <c:v>1.6363882729999999</c:v>
                </c:pt>
                <c:pt idx="58">
                  <c:v>1.6850786099999999</c:v>
                </c:pt>
                <c:pt idx="59">
                  <c:v>1.721596363</c:v>
                </c:pt>
                <c:pt idx="60">
                  <c:v>1.7581254070000001</c:v>
                </c:pt>
                <c:pt idx="61">
                  <c:v>1.794631868</c:v>
                </c:pt>
                <c:pt idx="62">
                  <c:v>1.8555286639999999</c:v>
                </c:pt>
                <c:pt idx="63">
                  <c:v>1.885960125</c:v>
                </c:pt>
                <c:pt idx="64">
                  <c:v>1.9285528780000001</c:v>
                </c:pt>
                <c:pt idx="65">
                  <c:v>1.95899563</c:v>
                </c:pt>
                <c:pt idx="66">
                  <c:v>1.995524675</c:v>
                </c:pt>
                <c:pt idx="67">
                  <c:v>2.0442375949999998</c:v>
                </c:pt>
                <c:pt idx="68">
                  <c:v>2.0807553479999998</c:v>
                </c:pt>
                <c:pt idx="69">
                  <c:v>2.1172730999999998</c:v>
                </c:pt>
                <c:pt idx="70">
                  <c:v>2.1537908529999998</c:v>
                </c:pt>
                <c:pt idx="71">
                  <c:v>2.1903311890000001</c:v>
                </c:pt>
                <c:pt idx="72">
                  <c:v>2.2268489420000002</c:v>
                </c:pt>
                <c:pt idx="73">
                  <c:v>2.2755505700000001</c:v>
                </c:pt>
                <c:pt idx="74">
                  <c:v>2.3181433230000001</c:v>
                </c:pt>
                <c:pt idx="75">
                  <c:v>2.3790514119999999</c:v>
                </c:pt>
                <c:pt idx="76">
                  <c:v>2.427730457</c:v>
                </c:pt>
                <c:pt idx="77">
                  <c:v>2.4642707929999998</c:v>
                </c:pt>
                <c:pt idx="78">
                  <c:v>2.5129724219999998</c:v>
                </c:pt>
                <c:pt idx="79">
                  <c:v>2.5616853420000001</c:v>
                </c:pt>
                <c:pt idx="80">
                  <c:v>2.5921055110000002</c:v>
                </c:pt>
                <c:pt idx="81">
                  <c:v>2.6529571399999998</c:v>
                </c:pt>
                <c:pt idx="82">
                  <c:v>2.6286345550000001</c:v>
                </c:pt>
                <c:pt idx="83">
                  <c:v>2.69559506</c:v>
                </c:pt>
                <c:pt idx="84">
                  <c:v>2.738221689</c:v>
                </c:pt>
                <c:pt idx="85">
                  <c:v>2.7930209009999998</c:v>
                </c:pt>
                <c:pt idx="86">
                  <c:v>2.8173660699999998</c:v>
                </c:pt>
                <c:pt idx="87">
                  <c:v>2.8477862379999999</c:v>
                </c:pt>
                <c:pt idx="88">
                  <c:v>2.9025967430000001</c:v>
                </c:pt>
                <c:pt idx="89">
                  <c:v>2.9330282030000001</c:v>
                </c:pt>
                <c:pt idx="90">
                  <c:v>2.9634935389999999</c:v>
                </c:pt>
                <c:pt idx="91">
                  <c:v>2.9939249999999999</c:v>
                </c:pt>
              </c:numCache>
            </c:numRef>
          </c:xVal>
          <c:yVal>
            <c:numRef>
              <c:f>Φύλλο1!$L$4:$L$95</c:f>
              <c:numCache>
                <c:formatCode>General</c:formatCode>
                <c:ptCount val="92"/>
                <c:pt idx="0">
                  <c:v>0.10555595299999999</c:v>
                </c:pt>
                <c:pt idx="1">
                  <c:v>1.0544868060000001</c:v>
                </c:pt>
                <c:pt idx="2">
                  <c:v>1.8980762499999999</c:v>
                </c:pt>
                <c:pt idx="3">
                  <c:v>2.7418802389999999</c:v>
                </c:pt>
                <c:pt idx="4">
                  <c:v>3.4801282750000002</c:v>
                </c:pt>
                <c:pt idx="5">
                  <c:v>4.1128203579999996</c:v>
                </c:pt>
                <c:pt idx="6">
                  <c:v>4.85085385</c:v>
                </c:pt>
                <c:pt idx="7">
                  <c:v>5.5891018859999999</c:v>
                </c:pt>
                <c:pt idx="8">
                  <c:v>6.2217939690000001</c:v>
                </c:pt>
                <c:pt idx="9">
                  <c:v>6.8542715080000001</c:v>
                </c:pt>
                <c:pt idx="10">
                  <c:v>7.6980754969999996</c:v>
                </c:pt>
                <c:pt idx="11">
                  <c:v>8.4361089889999992</c:v>
                </c:pt>
                <c:pt idx="12">
                  <c:v>9.2796984330000001</c:v>
                </c:pt>
                <c:pt idx="13">
                  <c:v>9.7012786109999993</c:v>
                </c:pt>
                <c:pt idx="14">
                  <c:v>10.228629290000001</c:v>
                </c:pt>
                <c:pt idx="15">
                  <c:v>10.755765419999999</c:v>
                </c:pt>
                <c:pt idx="16">
                  <c:v>11.59935486</c:v>
                </c:pt>
                <c:pt idx="17">
                  <c:v>12.23204694</c:v>
                </c:pt>
                <c:pt idx="18">
                  <c:v>12.97029498</c:v>
                </c:pt>
                <c:pt idx="19">
                  <c:v>13.60298706</c:v>
                </c:pt>
                <c:pt idx="20">
                  <c:v>14.130123190000001</c:v>
                </c:pt>
                <c:pt idx="21">
                  <c:v>14.76281528</c:v>
                </c:pt>
                <c:pt idx="22">
                  <c:v>15.50063422</c:v>
                </c:pt>
                <c:pt idx="23">
                  <c:v>16.23888226</c:v>
                </c:pt>
                <c:pt idx="24">
                  <c:v>16.660247890000001</c:v>
                </c:pt>
                <c:pt idx="25">
                  <c:v>17.187169480000001</c:v>
                </c:pt>
                <c:pt idx="26">
                  <c:v>17.502979159999999</c:v>
                </c:pt>
                <c:pt idx="27">
                  <c:v>18.029900739999999</c:v>
                </c:pt>
                <c:pt idx="28">
                  <c:v>18.557036879999998</c:v>
                </c:pt>
                <c:pt idx="29">
                  <c:v>18.978402509999999</c:v>
                </c:pt>
                <c:pt idx="30">
                  <c:v>19.610450960000001</c:v>
                </c:pt>
                <c:pt idx="31">
                  <c:v>20.03160205</c:v>
                </c:pt>
                <c:pt idx="32">
                  <c:v>20.76942099</c:v>
                </c:pt>
                <c:pt idx="33">
                  <c:v>21.29591349</c:v>
                </c:pt>
                <c:pt idx="34">
                  <c:v>21.82240599</c:v>
                </c:pt>
                <c:pt idx="35">
                  <c:v>22.34932757</c:v>
                </c:pt>
                <c:pt idx="36">
                  <c:v>22.981376019999999</c:v>
                </c:pt>
                <c:pt idx="37">
                  <c:v>23.61320993</c:v>
                </c:pt>
                <c:pt idx="38">
                  <c:v>24.14013151</c:v>
                </c:pt>
                <c:pt idx="39">
                  <c:v>24.666409460000001</c:v>
                </c:pt>
                <c:pt idx="40">
                  <c:v>25.40401387</c:v>
                </c:pt>
                <c:pt idx="41">
                  <c:v>26.036276860000001</c:v>
                </c:pt>
                <c:pt idx="42">
                  <c:v>26.562769360000001</c:v>
                </c:pt>
                <c:pt idx="43">
                  <c:v>27.089476399999999</c:v>
                </c:pt>
                <c:pt idx="44">
                  <c:v>27.615968890000001</c:v>
                </c:pt>
                <c:pt idx="45">
                  <c:v>28.564256109999999</c:v>
                </c:pt>
                <c:pt idx="46">
                  <c:v>29.301860520000002</c:v>
                </c:pt>
                <c:pt idx="47">
                  <c:v>29.7230116</c:v>
                </c:pt>
                <c:pt idx="48">
                  <c:v>30.460186920000002</c:v>
                </c:pt>
                <c:pt idx="49">
                  <c:v>31.092020819999998</c:v>
                </c:pt>
                <c:pt idx="50">
                  <c:v>31.723854729999999</c:v>
                </c:pt>
                <c:pt idx="51">
                  <c:v>32.777268810000002</c:v>
                </c:pt>
                <c:pt idx="52">
                  <c:v>33.198419899999998</c:v>
                </c:pt>
                <c:pt idx="53">
                  <c:v>33.830682889999999</c:v>
                </c:pt>
                <c:pt idx="54">
                  <c:v>34.357389929999997</c:v>
                </c:pt>
                <c:pt idx="55">
                  <c:v>34.88388243</c:v>
                </c:pt>
                <c:pt idx="56">
                  <c:v>35.515930879999999</c:v>
                </c:pt>
                <c:pt idx="57">
                  <c:v>36.042423380000002</c:v>
                </c:pt>
                <c:pt idx="58">
                  <c:v>36.885154640000003</c:v>
                </c:pt>
                <c:pt idx="59">
                  <c:v>37.517203090000002</c:v>
                </c:pt>
                <c:pt idx="60">
                  <c:v>38.043695589999999</c:v>
                </c:pt>
                <c:pt idx="61">
                  <c:v>38.781299990000001</c:v>
                </c:pt>
                <c:pt idx="62">
                  <c:v>39.518046210000001</c:v>
                </c:pt>
                <c:pt idx="63">
                  <c:v>40.044753249999999</c:v>
                </c:pt>
                <c:pt idx="64">
                  <c:v>40.887699069999996</c:v>
                </c:pt>
                <c:pt idx="65">
                  <c:v>41.308850149999998</c:v>
                </c:pt>
                <c:pt idx="66">
                  <c:v>41.835342650000001</c:v>
                </c:pt>
                <c:pt idx="67">
                  <c:v>42.466962010000003</c:v>
                </c:pt>
                <c:pt idx="68">
                  <c:v>43.099010460000002</c:v>
                </c:pt>
                <c:pt idx="69">
                  <c:v>43.731058910000002</c:v>
                </c:pt>
                <c:pt idx="70">
                  <c:v>44.363107360000001</c:v>
                </c:pt>
                <c:pt idx="71">
                  <c:v>44.7840439</c:v>
                </c:pt>
                <c:pt idx="72">
                  <c:v>45.41609235</c:v>
                </c:pt>
                <c:pt idx="73">
                  <c:v>46.153267669999998</c:v>
                </c:pt>
                <c:pt idx="74">
                  <c:v>46.996213480000002</c:v>
                </c:pt>
                <c:pt idx="75">
                  <c:v>47.627403749999999</c:v>
                </c:pt>
                <c:pt idx="76">
                  <c:v>48.575690969999997</c:v>
                </c:pt>
                <c:pt idx="77">
                  <c:v>48.996627510000003</c:v>
                </c:pt>
                <c:pt idx="78">
                  <c:v>49.733802820000001</c:v>
                </c:pt>
                <c:pt idx="79">
                  <c:v>50.365422180000003</c:v>
                </c:pt>
                <c:pt idx="80">
                  <c:v>50.997685179999998</c:v>
                </c:pt>
                <c:pt idx="81">
                  <c:v>52.156655209999997</c:v>
                </c:pt>
                <c:pt idx="82">
                  <c:v>51.52417767</c:v>
                </c:pt>
                <c:pt idx="83">
                  <c:v>52.577377210000002</c:v>
                </c:pt>
                <c:pt idx="84">
                  <c:v>53.103655160000002</c:v>
                </c:pt>
                <c:pt idx="85">
                  <c:v>53.840615929999998</c:v>
                </c:pt>
                <c:pt idx="86">
                  <c:v>54.261981560000002</c:v>
                </c:pt>
                <c:pt idx="87">
                  <c:v>54.894244559999997</c:v>
                </c:pt>
                <c:pt idx="88">
                  <c:v>55.525649369999996</c:v>
                </c:pt>
                <c:pt idx="89">
                  <c:v>56.052356420000002</c:v>
                </c:pt>
                <c:pt idx="90">
                  <c:v>56.262395599999998</c:v>
                </c:pt>
                <c:pt idx="91">
                  <c:v>56.789102640000003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B2-4B21-AB3A-A117517E1EFE}"/>
            </c:ext>
          </c:extLst>
        </c:ser>
        <c:ser>
          <c:idx val="1"/>
          <c:order val="1"/>
          <c:tx>
            <c:v>Numerical Model</c:v>
          </c:tx>
          <c:spPr>
            <a:ln w="63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Φύλλο1!$N$4:$N$53</c:f>
              <c:numCache>
                <c:formatCode>General</c:formatCode>
                <c:ptCount val="50"/>
                <c:pt idx="0" formatCode="0.00E+0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</c:v>
                </c:pt>
                <c:pt idx="5">
                  <c:v>0.36</c:v>
                </c:pt>
                <c:pt idx="6">
                  <c:v>0.42</c:v>
                </c:pt>
                <c:pt idx="7">
                  <c:v>0.48</c:v>
                </c:pt>
                <c:pt idx="8">
                  <c:v>0.54</c:v>
                </c:pt>
                <c:pt idx="9">
                  <c:v>0.6</c:v>
                </c:pt>
                <c:pt idx="10">
                  <c:v>0.66</c:v>
                </c:pt>
                <c:pt idx="11">
                  <c:v>0.72</c:v>
                </c:pt>
                <c:pt idx="12">
                  <c:v>0.78</c:v>
                </c:pt>
                <c:pt idx="13">
                  <c:v>0.84</c:v>
                </c:pt>
                <c:pt idx="14">
                  <c:v>0.9</c:v>
                </c:pt>
                <c:pt idx="15">
                  <c:v>0.96</c:v>
                </c:pt>
                <c:pt idx="16">
                  <c:v>1.02</c:v>
                </c:pt>
                <c:pt idx="17">
                  <c:v>1.08</c:v>
                </c:pt>
                <c:pt idx="18">
                  <c:v>1.1399999999999999</c:v>
                </c:pt>
                <c:pt idx="19">
                  <c:v>1.2</c:v>
                </c:pt>
                <c:pt idx="20">
                  <c:v>1.26</c:v>
                </c:pt>
                <c:pt idx="21">
                  <c:v>1.32</c:v>
                </c:pt>
                <c:pt idx="22">
                  <c:v>1.38</c:v>
                </c:pt>
                <c:pt idx="23">
                  <c:v>1.44</c:v>
                </c:pt>
                <c:pt idx="24">
                  <c:v>1.5</c:v>
                </c:pt>
                <c:pt idx="25">
                  <c:v>1.56</c:v>
                </c:pt>
                <c:pt idx="26">
                  <c:v>1.62</c:v>
                </c:pt>
                <c:pt idx="27">
                  <c:v>1.68</c:v>
                </c:pt>
                <c:pt idx="28">
                  <c:v>1.74</c:v>
                </c:pt>
                <c:pt idx="29">
                  <c:v>1.8</c:v>
                </c:pt>
                <c:pt idx="30">
                  <c:v>1.86</c:v>
                </c:pt>
                <c:pt idx="31">
                  <c:v>1.92</c:v>
                </c:pt>
                <c:pt idx="32">
                  <c:v>1.98</c:v>
                </c:pt>
                <c:pt idx="33">
                  <c:v>2.04</c:v>
                </c:pt>
                <c:pt idx="34">
                  <c:v>2.1</c:v>
                </c:pt>
                <c:pt idx="35">
                  <c:v>2.16</c:v>
                </c:pt>
                <c:pt idx="36">
                  <c:v>2.2200000000000002</c:v>
                </c:pt>
                <c:pt idx="37">
                  <c:v>2.2799999999999998</c:v>
                </c:pt>
                <c:pt idx="38">
                  <c:v>2.34</c:v>
                </c:pt>
                <c:pt idx="39">
                  <c:v>2.4</c:v>
                </c:pt>
                <c:pt idx="40">
                  <c:v>2.46</c:v>
                </c:pt>
                <c:pt idx="41">
                  <c:v>2.52</c:v>
                </c:pt>
                <c:pt idx="42">
                  <c:v>2.58</c:v>
                </c:pt>
                <c:pt idx="43">
                  <c:v>2.64</c:v>
                </c:pt>
                <c:pt idx="44">
                  <c:v>2.7</c:v>
                </c:pt>
                <c:pt idx="45">
                  <c:v>2.76</c:v>
                </c:pt>
                <c:pt idx="46">
                  <c:v>2.82</c:v>
                </c:pt>
                <c:pt idx="47">
                  <c:v>2.88</c:v>
                </c:pt>
                <c:pt idx="48">
                  <c:v>2.94</c:v>
                </c:pt>
                <c:pt idx="49">
                  <c:v>3</c:v>
                </c:pt>
              </c:numCache>
            </c:numRef>
          </c:xVal>
          <c:yVal>
            <c:numRef>
              <c:f>Φύλλο1!$O$4:$O$53</c:f>
              <c:numCache>
                <c:formatCode>General</c:formatCode>
                <c:ptCount val="50"/>
                <c:pt idx="0">
                  <c:v>2.0992250100000001</c:v>
                </c:pt>
                <c:pt idx="1">
                  <c:v>4.1984700000000004</c:v>
                </c:pt>
                <c:pt idx="2">
                  <c:v>6.2972765600000002</c:v>
                </c:pt>
                <c:pt idx="3">
                  <c:v>8.3944907499999992</c:v>
                </c:pt>
                <c:pt idx="4">
                  <c:v>10.486988999999999</c:v>
                </c:pt>
                <c:pt idx="5">
                  <c:v>12.563473999999999</c:v>
                </c:pt>
                <c:pt idx="6">
                  <c:v>14.5662044</c:v>
                </c:pt>
                <c:pt idx="7">
                  <c:v>16.2498343</c:v>
                </c:pt>
                <c:pt idx="8">
                  <c:v>17.5374458</c:v>
                </c:pt>
                <c:pt idx="9">
                  <c:v>18.679335600000002</c:v>
                </c:pt>
                <c:pt idx="10">
                  <c:v>19.771928599999999</c:v>
                </c:pt>
                <c:pt idx="11">
                  <c:v>20.840395099999999</c:v>
                </c:pt>
                <c:pt idx="12">
                  <c:v>21.894265999999998</c:v>
                </c:pt>
                <c:pt idx="13">
                  <c:v>22.934978300000001</c:v>
                </c:pt>
                <c:pt idx="14">
                  <c:v>23.9713092</c:v>
                </c:pt>
                <c:pt idx="15">
                  <c:v>25.0006445</c:v>
                </c:pt>
                <c:pt idx="16">
                  <c:v>26.023447999999998</c:v>
                </c:pt>
                <c:pt idx="17">
                  <c:v>27.040492499999999</c:v>
                </c:pt>
                <c:pt idx="18">
                  <c:v>28.052193299999999</c:v>
                </c:pt>
                <c:pt idx="19">
                  <c:v>29.0588102</c:v>
                </c:pt>
                <c:pt idx="20">
                  <c:v>30.0605197</c:v>
                </c:pt>
                <c:pt idx="21">
                  <c:v>31.057440199999998</c:v>
                </c:pt>
                <c:pt idx="22">
                  <c:v>32.049648599999998</c:v>
                </c:pt>
                <c:pt idx="23">
                  <c:v>33.037191100000001</c:v>
                </c:pt>
                <c:pt idx="24">
                  <c:v>34.020090799999998</c:v>
                </c:pt>
                <c:pt idx="25">
                  <c:v>34.998352699999998</c:v>
                </c:pt>
                <c:pt idx="26">
                  <c:v>35.971967100000001</c:v>
                </c:pt>
                <c:pt idx="27">
                  <c:v>36.940913000000002</c:v>
                </c:pt>
                <c:pt idx="28">
                  <c:v>37.905159599999998</c:v>
                </c:pt>
                <c:pt idx="29">
                  <c:v>38.864668500000001</c:v>
                </c:pt>
                <c:pt idx="30">
                  <c:v>39.819394699999997</c:v>
                </c:pt>
                <c:pt idx="31">
                  <c:v>40.769288000000003</c:v>
                </c:pt>
                <c:pt idx="32">
                  <c:v>41.714294000000002</c:v>
                </c:pt>
                <c:pt idx="33">
                  <c:v>42.654355099999997</c:v>
                </c:pt>
                <c:pt idx="34">
                  <c:v>43.589410999999998</c:v>
                </c:pt>
                <c:pt idx="35">
                  <c:v>44.519399800000002</c:v>
                </c:pt>
                <c:pt idx="36">
                  <c:v>45.444258599999998</c:v>
                </c:pt>
                <c:pt idx="37">
                  <c:v>46.3639242</c:v>
                </c:pt>
                <c:pt idx="38">
                  <c:v>47.2783339</c:v>
                </c:pt>
                <c:pt idx="39">
                  <c:v>48.187426000000002</c:v>
                </c:pt>
                <c:pt idx="40">
                  <c:v>49.091140500000002</c:v>
                </c:pt>
                <c:pt idx="41">
                  <c:v>49.989419499999997</c:v>
                </c:pt>
                <c:pt idx="42">
                  <c:v>50.882208400000003</c:v>
                </c:pt>
                <c:pt idx="43">
                  <c:v>51.769455600000001</c:v>
                </c:pt>
                <c:pt idx="44">
                  <c:v>52.651113899999999</c:v>
                </c:pt>
                <c:pt idx="45">
                  <c:v>53.527140099999997</c:v>
                </c:pt>
                <c:pt idx="46">
                  <c:v>54.3974963</c:v>
                </c:pt>
                <c:pt idx="47">
                  <c:v>55.262149700000002</c:v>
                </c:pt>
                <c:pt idx="48">
                  <c:v>56.121072900000001</c:v>
                </c:pt>
                <c:pt idx="49">
                  <c:v>56.974242799999999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B2-4B21-AB3A-A117517E1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591584"/>
        <c:axId val="1271594912"/>
      </c:scatterChart>
      <c:valAx>
        <c:axId val="12715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Axial</a:t>
                </a:r>
                <a:r>
                  <a:rPr lang="en-US" sz="1400" baseline="0"/>
                  <a:t> Displacement [mm]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94912"/>
        <c:crosses val="autoZero"/>
        <c:crossBetween val="midCat"/>
      </c:valAx>
      <c:valAx>
        <c:axId val="12715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Axial Loading [kN]</a:t>
                </a:r>
              </a:p>
            </c:rich>
          </c:tx>
          <c:layout>
            <c:manualLayout>
              <c:xMode val="edge"/>
              <c:yMode val="edge"/>
              <c:x val="2.7184190873261096E-2"/>
              <c:y val="0.16914465506497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9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</xdr:colOff>
      <xdr:row>11</xdr:row>
      <xdr:rowOff>110490</xdr:rowOff>
    </xdr:from>
    <xdr:to>
      <xdr:col>7</xdr:col>
      <xdr:colOff>49530</xdr:colOff>
      <xdr:row>25</xdr:row>
      <xdr:rowOff>186690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14613-AFC5-40DD-802D-48EBB70F7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392361</xdr:colOff>
      <xdr:row>2</xdr:row>
      <xdr:rowOff>112015</xdr:rowOff>
    </xdr:from>
    <xdr:to>
      <xdr:col>26</xdr:col>
      <xdr:colOff>180100</xdr:colOff>
      <xdr:row>17</xdr:row>
      <xdr:rowOff>32100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26B515-8A5A-4234-A592-702EBD99D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607979</xdr:colOff>
      <xdr:row>17</xdr:row>
      <xdr:rowOff>172261</xdr:rowOff>
    </xdr:from>
    <xdr:to>
      <xdr:col>25</xdr:col>
      <xdr:colOff>334919</xdr:colOff>
      <xdr:row>32</xdr:row>
      <xdr:rowOff>92346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2DF1DD-99FE-42CB-AE71-1A10A02D4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topLeftCell="I1" zoomScale="94" zoomScaleNormal="94" workbookViewId="0">
      <selection activeCell="AC7" sqref="AC7"/>
    </sheetView>
  </sheetViews>
  <sheetFormatPr defaultRowHeight="15" x14ac:dyDescent="0.25"/>
  <cols>
    <col min="4" max="4" width="21.140625" customWidth="1"/>
    <col min="5" max="5" width="27.140625" customWidth="1"/>
    <col min="6" max="6" width="12.7109375" bestFit="1" customWidth="1"/>
    <col min="7" max="7" width="11.7109375" customWidth="1"/>
    <col min="8" max="8" width="12" bestFit="1" customWidth="1"/>
    <col min="11" max="11" width="17.42578125" customWidth="1"/>
    <col min="12" max="12" width="14.5703125" customWidth="1"/>
    <col min="14" max="14" width="13.85546875" customWidth="1"/>
    <col min="17" max="17" width="11" bestFit="1" customWidth="1"/>
    <col min="18" max="18" width="10" bestFit="1" customWidth="1"/>
  </cols>
  <sheetData>
    <row r="1" spans="1:1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5" x14ac:dyDescent="0.25">
      <c r="A2" s="4"/>
      <c r="B2" s="4"/>
      <c r="C2" s="4"/>
      <c r="D2" s="6" t="s">
        <v>0</v>
      </c>
      <c r="E2" s="6"/>
      <c r="F2" s="6"/>
      <c r="G2" s="4"/>
      <c r="H2" s="4"/>
      <c r="I2" s="4"/>
      <c r="J2" s="4"/>
      <c r="K2" s="7" t="s">
        <v>15</v>
      </c>
      <c r="L2" s="7"/>
      <c r="N2" s="7" t="s">
        <v>16</v>
      </c>
      <c r="O2" s="7"/>
    </row>
    <row r="3" spans="1:15" x14ac:dyDescent="0.25">
      <c r="A3" s="2" t="s">
        <v>5</v>
      </c>
      <c r="B3" s="2">
        <v>480</v>
      </c>
      <c r="C3" s="2"/>
      <c r="D3" s="2" t="s">
        <v>1</v>
      </c>
      <c r="E3" s="2" t="s">
        <v>2</v>
      </c>
      <c r="F3" s="2" t="s">
        <v>3</v>
      </c>
      <c r="G3" s="2" t="s">
        <v>4</v>
      </c>
      <c r="H3" s="2" t="s">
        <v>14</v>
      </c>
      <c r="I3" s="4"/>
      <c r="J3" s="4"/>
      <c r="K3" t="s">
        <v>17</v>
      </c>
      <c r="L3" t="s">
        <v>18</v>
      </c>
      <c r="N3" t="s">
        <v>19</v>
      </c>
      <c r="O3" t="s">
        <v>20</v>
      </c>
    </row>
    <row r="4" spans="1:15" x14ac:dyDescent="0.25">
      <c r="A4" s="2" t="s">
        <v>6</v>
      </c>
      <c r="B4" s="2">
        <v>120</v>
      </c>
      <c r="C4" s="2"/>
      <c r="D4" s="2">
        <v>20</v>
      </c>
      <c r="E4" s="2">
        <v>17924.7</v>
      </c>
      <c r="F4" s="2"/>
      <c r="G4" s="2"/>
      <c r="H4" s="2"/>
      <c r="I4" s="4"/>
      <c r="J4" s="4"/>
      <c r="K4" s="1">
        <v>0</v>
      </c>
      <c r="L4">
        <v>0.10555595299999999</v>
      </c>
      <c r="N4" s="1">
        <v>0.06</v>
      </c>
      <c r="O4">
        <v>2.0992250100000001</v>
      </c>
    </row>
    <row r="5" spans="1:15" x14ac:dyDescent="0.25">
      <c r="A5" s="2" t="s">
        <v>7</v>
      </c>
      <c r="B5" s="2">
        <v>2</v>
      </c>
      <c r="C5" s="2"/>
      <c r="D5" s="2">
        <v>15</v>
      </c>
      <c r="E5" s="2">
        <v>17522.8</v>
      </c>
      <c r="F5" s="2">
        <f>ABS((E5-E4)/E5*100)</f>
        <v>2.293583217294048</v>
      </c>
      <c r="G5" s="2"/>
      <c r="H5" s="2"/>
      <c r="I5" s="4"/>
      <c r="J5" s="4"/>
      <c r="K5">
        <v>3.0375000999999999E-2</v>
      </c>
      <c r="L5">
        <v>1.0544868060000001</v>
      </c>
      <c r="N5">
        <v>0.12</v>
      </c>
      <c r="O5">
        <v>4.1984700000000004</v>
      </c>
    </row>
    <row r="6" spans="1:15" x14ac:dyDescent="0.25">
      <c r="A6" s="2" t="s">
        <v>8</v>
      </c>
      <c r="B6" s="2">
        <f>B3/B4</f>
        <v>4</v>
      </c>
      <c r="C6" s="2"/>
      <c r="D6" s="2">
        <v>10</v>
      </c>
      <c r="E6" s="2">
        <v>17245.2</v>
      </c>
      <c r="F6" s="2">
        <f t="shared" ref="F6:F8" si="0">ABS((E6-E5)/E6*100)</f>
        <v>1.6097232853199646</v>
      </c>
      <c r="G6" s="2"/>
      <c r="H6" s="3"/>
      <c r="I6" s="4"/>
      <c r="J6" s="4"/>
      <c r="K6">
        <v>5.4675003E-2</v>
      </c>
      <c r="L6">
        <v>1.8980762499999999</v>
      </c>
      <c r="N6">
        <v>0.18</v>
      </c>
      <c r="O6">
        <v>6.2972765600000002</v>
      </c>
    </row>
    <row r="7" spans="1:15" x14ac:dyDescent="0.25">
      <c r="A7" s="2" t="s">
        <v>9</v>
      </c>
      <c r="B7" s="2">
        <f>70000</f>
        <v>70000</v>
      </c>
      <c r="C7" s="2"/>
      <c r="D7" s="5">
        <v>5</v>
      </c>
      <c r="E7" s="5">
        <v>17082.3</v>
      </c>
      <c r="F7" s="5">
        <f t="shared" si="0"/>
        <v>0.95361865790907241</v>
      </c>
      <c r="G7" s="5">
        <f>B11*PI()^2*B9/B4^2*B4</f>
        <v>17055.846572604063</v>
      </c>
      <c r="H7" s="5">
        <f>(E7-G7)/E7*100</f>
        <v>0.15485869816088094</v>
      </c>
      <c r="I7" s="4"/>
      <c r="J7" s="4"/>
      <c r="K7">
        <v>7.2877419999999998E-2</v>
      </c>
      <c r="L7">
        <v>2.7418802389999999</v>
      </c>
      <c r="N7">
        <v>0.24</v>
      </c>
      <c r="O7">
        <v>8.3944907499999992</v>
      </c>
    </row>
    <row r="8" spans="1:15" x14ac:dyDescent="0.25">
      <c r="A8" s="2" t="s">
        <v>10</v>
      </c>
      <c r="B8" s="2">
        <v>0.316</v>
      </c>
      <c r="C8" s="2"/>
      <c r="D8" s="2">
        <v>2.5</v>
      </c>
      <c r="E8" s="2">
        <v>17041.900000000001</v>
      </c>
      <c r="F8" s="2">
        <f t="shared" si="0"/>
        <v>0.23706276882271235</v>
      </c>
      <c r="G8" s="2"/>
      <c r="H8" s="2"/>
      <c r="I8" s="4"/>
      <c r="J8" s="4"/>
      <c r="K8">
        <v>9.1091129000000007E-2</v>
      </c>
      <c r="L8">
        <v>3.4801282750000002</v>
      </c>
      <c r="N8">
        <v>0.3</v>
      </c>
      <c r="O8">
        <v>10.486988999999999</v>
      </c>
    </row>
    <row r="9" spans="1:15" x14ac:dyDescent="0.25">
      <c r="A9" s="2" t="s">
        <v>13</v>
      </c>
      <c r="B9" s="2">
        <f>B7*B5^3/(12*(1-B8^2))</f>
        <v>51843.556882750607</v>
      </c>
      <c r="C9" s="2"/>
      <c r="D9" s="2"/>
      <c r="E9" s="2"/>
      <c r="F9" s="2"/>
      <c r="G9" s="2"/>
      <c r="H9" s="2"/>
      <c r="I9" s="4"/>
      <c r="J9" s="4"/>
      <c r="K9">
        <v>0.10931613</v>
      </c>
      <c r="L9">
        <v>4.1128203579999996</v>
      </c>
      <c r="N9">
        <v>0.36</v>
      </c>
      <c r="O9">
        <v>12.563473999999999</v>
      </c>
    </row>
    <row r="10" spans="1:15" x14ac:dyDescent="0.25">
      <c r="A10" s="2" t="s">
        <v>11</v>
      </c>
      <c r="B10" s="2">
        <v>4</v>
      </c>
      <c r="C10" s="2"/>
      <c r="D10" s="2"/>
      <c r="E10" s="2"/>
      <c r="F10" s="2"/>
      <c r="G10" s="2"/>
      <c r="H10" s="2"/>
      <c r="I10" s="4"/>
      <c r="J10" s="4"/>
      <c r="K10">
        <v>0.133627423</v>
      </c>
      <c r="L10">
        <v>4.85085385</v>
      </c>
      <c r="N10">
        <v>0.42</v>
      </c>
      <c r="O10">
        <v>14.5662044</v>
      </c>
    </row>
    <row r="11" spans="1:15" x14ac:dyDescent="0.25">
      <c r="A11" s="2" t="s">
        <v>12</v>
      </c>
      <c r="B11" s="2">
        <f>(B10/B6+B6/B10)^2</f>
        <v>4</v>
      </c>
      <c r="C11" s="2"/>
      <c r="D11" s="2"/>
      <c r="E11" s="2"/>
      <c r="F11" s="2"/>
      <c r="G11" s="2"/>
      <c r="H11" s="2"/>
      <c r="I11" s="4"/>
      <c r="J11" s="4"/>
      <c r="K11">
        <v>0.15184113199999999</v>
      </c>
      <c r="L11">
        <v>5.5891018859999999</v>
      </c>
      <c r="N11">
        <v>0.48</v>
      </c>
      <c r="O11">
        <v>16.2498343</v>
      </c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>
        <v>0.17006613200000001</v>
      </c>
      <c r="L12">
        <v>6.2217939690000001</v>
      </c>
      <c r="N12">
        <v>0.54</v>
      </c>
      <c r="O12">
        <v>17.5374458</v>
      </c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>
        <v>0.19438871699999999</v>
      </c>
      <c r="L13">
        <v>6.8542715080000001</v>
      </c>
      <c r="N13">
        <v>0.6</v>
      </c>
      <c r="O13">
        <v>18.679335600000002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>
        <v>0.21259113399999999</v>
      </c>
      <c r="L14">
        <v>7.6980754969999996</v>
      </c>
      <c r="N14">
        <v>0.66</v>
      </c>
      <c r="O14">
        <v>19.771928599999999</v>
      </c>
    </row>
    <row r="15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>
        <v>0.236902427</v>
      </c>
      <c r="L15">
        <v>8.4361089889999992</v>
      </c>
      <c r="N15">
        <v>0.72</v>
      </c>
      <c r="O15">
        <v>20.840395099999999</v>
      </c>
    </row>
    <row r="16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>
        <v>0.26120242799999999</v>
      </c>
      <c r="L16">
        <v>9.2796984330000001</v>
      </c>
      <c r="N16">
        <v>0.78</v>
      </c>
      <c r="O16">
        <v>21.894265999999998</v>
      </c>
    </row>
    <row r="17" spans="1:1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>
        <v>0.279450013</v>
      </c>
      <c r="L17">
        <v>9.7012786109999993</v>
      </c>
      <c r="N17">
        <v>0.84</v>
      </c>
      <c r="O17">
        <v>22.934978300000001</v>
      </c>
    </row>
    <row r="18" spans="1:1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>
        <v>0.29158872200000002</v>
      </c>
      <c r="L18">
        <v>10.228629290000001</v>
      </c>
      <c r="N18">
        <v>0.9</v>
      </c>
      <c r="O18">
        <v>23.9713092</v>
      </c>
    </row>
    <row r="19" spans="1:1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>
        <v>0.30982501400000001</v>
      </c>
      <c r="L19">
        <v>10.755765419999999</v>
      </c>
      <c r="N19">
        <v>0.96</v>
      </c>
      <c r="O19">
        <v>25.0006445</v>
      </c>
    </row>
    <row r="20" spans="1:1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>
        <v>0.334125016</v>
      </c>
      <c r="L20">
        <v>11.59935486</v>
      </c>
      <c r="N20">
        <v>1.02</v>
      </c>
      <c r="O20">
        <v>26.023447999999998</v>
      </c>
    </row>
    <row r="21" spans="1:1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>
        <v>0.35235001599999999</v>
      </c>
      <c r="L21">
        <v>12.23204694</v>
      </c>
      <c r="N21">
        <v>1.08</v>
      </c>
      <c r="O21">
        <v>27.040492499999999</v>
      </c>
    </row>
    <row r="22" spans="1:1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>
        <v>0.37056372500000001</v>
      </c>
      <c r="L22">
        <v>12.97029498</v>
      </c>
      <c r="N22">
        <v>1.1399999999999999</v>
      </c>
      <c r="O22">
        <v>28.052193299999999</v>
      </c>
    </row>
    <row r="23" spans="1:1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>
        <v>0.38878872599999997</v>
      </c>
      <c r="L23">
        <v>13.60298706</v>
      </c>
      <c r="N23">
        <v>1.2</v>
      </c>
      <c r="O23">
        <v>29.0588102</v>
      </c>
    </row>
    <row r="24" spans="1:15" x14ac:dyDescent="0.25">
      <c r="K24">
        <v>0.40702501899999999</v>
      </c>
      <c r="L24">
        <v>14.130123190000001</v>
      </c>
      <c r="N24">
        <v>1.26</v>
      </c>
      <c r="O24">
        <v>30.0605197</v>
      </c>
    </row>
    <row r="25" spans="1:15" x14ac:dyDescent="0.25">
      <c r="K25">
        <v>0.42525002000000001</v>
      </c>
      <c r="L25">
        <v>14.76281528</v>
      </c>
      <c r="N25">
        <v>1.32</v>
      </c>
      <c r="O25">
        <v>31.057440199999998</v>
      </c>
    </row>
    <row r="26" spans="1:15" x14ac:dyDescent="0.25">
      <c r="K26">
        <v>0.45565889700000001</v>
      </c>
      <c r="L26">
        <v>15.50063422</v>
      </c>
      <c r="N26">
        <v>1.38</v>
      </c>
      <c r="O26">
        <v>32.049648599999998</v>
      </c>
    </row>
    <row r="27" spans="1:15" x14ac:dyDescent="0.25">
      <c r="K27">
        <v>0.47387260599999997</v>
      </c>
      <c r="L27">
        <v>16.23888226</v>
      </c>
      <c r="N27">
        <v>1.44</v>
      </c>
      <c r="O27">
        <v>33.037191100000001</v>
      </c>
    </row>
    <row r="28" spans="1:15" x14ac:dyDescent="0.25">
      <c r="K28">
        <v>0.498217774</v>
      </c>
      <c r="L28">
        <v>16.660247890000001</v>
      </c>
      <c r="N28">
        <v>1.5</v>
      </c>
      <c r="O28">
        <v>34.020090799999998</v>
      </c>
    </row>
    <row r="29" spans="1:15" x14ac:dyDescent="0.25">
      <c r="K29">
        <v>0.52255165100000001</v>
      </c>
      <c r="L29">
        <v>17.187169480000001</v>
      </c>
      <c r="N29">
        <v>1.56</v>
      </c>
      <c r="O29">
        <v>34.998352699999998</v>
      </c>
    </row>
    <row r="30" spans="1:15" x14ac:dyDescent="0.25">
      <c r="K30">
        <v>0.54690811100000003</v>
      </c>
      <c r="L30">
        <v>17.502979159999999</v>
      </c>
      <c r="N30">
        <v>1.62</v>
      </c>
      <c r="O30">
        <v>35.971967100000001</v>
      </c>
    </row>
    <row r="31" spans="1:15" x14ac:dyDescent="0.25">
      <c r="K31">
        <v>0.57124198800000003</v>
      </c>
      <c r="L31">
        <v>18.029900739999999</v>
      </c>
      <c r="N31">
        <v>1.68</v>
      </c>
      <c r="O31">
        <v>36.940913000000002</v>
      </c>
    </row>
    <row r="32" spans="1:15" x14ac:dyDescent="0.25">
      <c r="K32">
        <v>0.58947828000000002</v>
      </c>
      <c r="L32">
        <v>18.557036879999998</v>
      </c>
      <c r="N32">
        <v>1.74</v>
      </c>
      <c r="O32">
        <v>37.905159599999998</v>
      </c>
    </row>
    <row r="33" spans="11:15" x14ac:dyDescent="0.25">
      <c r="K33">
        <v>0.61382344899999997</v>
      </c>
      <c r="L33">
        <v>18.978402509999999</v>
      </c>
      <c r="N33">
        <v>1.8</v>
      </c>
      <c r="O33">
        <v>38.864668500000001</v>
      </c>
    </row>
    <row r="34" spans="11:15" x14ac:dyDescent="0.25">
      <c r="K34">
        <v>0.65034120100000004</v>
      </c>
      <c r="L34">
        <v>19.610450960000001</v>
      </c>
      <c r="N34">
        <v>1.86</v>
      </c>
      <c r="O34">
        <v>39.819394699999997</v>
      </c>
    </row>
    <row r="35" spans="11:15" x14ac:dyDescent="0.25">
      <c r="K35">
        <v>0.68078395400000002</v>
      </c>
      <c r="L35">
        <v>20.03160205</v>
      </c>
      <c r="N35">
        <v>1.92</v>
      </c>
      <c r="O35">
        <v>40.769288000000003</v>
      </c>
    </row>
    <row r="36" spans="11:15" x14ac:dyDescent="0.25">
      <c r="K36">
        <v>0.71119283</v>
      </c>
      <c r="L36">
        <v>20.76942099</v>
      </c>
      <c r="N36">
        <v>1.98</v>
      </c>
      <c r="O36">
        <v>41.714294000000002</v>
      </c>
    </row>
    <row r="37" spans="11:15" x14ac:dyDescent="0.25">
      <c r="K37">
        <v>0.74772187499999998</v>
      </c>
      <c r="L37">
        <v>21.29591349</v>
      </c>
      <c r="N37">
        <v>2.04</v>
      </c>
      <c r="O37">
        <v>42.654355099999997</v>
      </c>
    </row>
    <row r="38" spans="11:15" x14ac:dyDescent="0.25">
      <c r="K38">
        <v>0.78425091899999999</v>
      </c>
      <c r="L38">
        <v>21.82240599</v>
      </c>
      <c r="N38">
        <v>2.1</v>
      </c>
      <c r="O38">
        <v>43.589410999999998</v>
      </c>
    </row>
    <row r="39" spans="11:15" x14ac:dyDescent="0.25">
      <c r="K39">
        <v>0.80858479599999999</v>
      </c>
      <c r="L39">
        <v>22.34932757</v>
      </c>
      <c r="N39">
        <v>2.16</v>
      </c>
      <c r="O39">
        <v>44.519399800000002</v>
      </c>
    </row>
    <row r="40" spans="11:15" x14ac:dyDescent="0.25">
      <c r="K40">
        <v>0.84510254900000004</v>
      </c>
      <c r="L40">
        <v>22.981376019999999</v>
      </c>
      <c r="N40">
        <v>2.2200000000000002</v>
      </c>
      <c r="O40">
        <v>45.444258599999998</v>
      </c>
    </row>
    <row r="41" spans="11:15" x14ac:dyDescent="0.25">
      <c r="K41">
        <v>0.88771788500000004</v>
      </c>
      <c r="L41">
        <v>23.61320993</v>
      </c>
      <c r="N41">
        <v>2.2799999999999998</v>
      </c>
      <c r="O41">
        <v>46.3639242</v>
      </c>
    </row>
    <row r="42" spans="11:15" x14ac:dyDescent="0.25">
      <c r="K42">
        <v>0.91205176200000004</v>
      </c>
      <c r="L42">
        <v>24.14013151</v>
      </c>
      <c r="N42">
        <v>2.34</v>
      </c>
      <c r="O42">
        <v>47.2783339</v>
      </c>
    </row>
    <row r="43" spans="11:15" x14ac:dyDescent="0.25">
      <c r="K43">
        <v>0.95467838999999999</v>
      </c>
      <c r="L43">
        <v>24.666409460000001</v>
      </c>
      <c r="N43">
        <v>2.4</v>
      </c>
      <c r="O43">
        <v>48.187426000000002</v>
      </c>
    </row>
    <row r="44" spans="11:15" x14ac:dyDescent="0.25">
      <c r="K44">
        <v>0.99118485099999998</v>
      </c>
      <c r="L44">
        <v>25.40401387</v>
      </c>
      <c r="N44">
        <v>2.46</v>
      </c>
      <c r="O44">
        <v>49.091140500000002</v>
      </c>
    </row>
    <row r="45" spans="11:15" x14ac:dyDescent="0.25">
      <c r="K45">
        <v>1.02160502</v>
      </c>
      <c r="L45">
        <v>26.036276860000001</v>
      </c>
      <c r="N45">
        <v>2.52</v>
      </c>
      <c r="O45">
        <v>49.989419499999997</v>
      </c>
    </row>
    <row r="46" spans="11:15" x14ac:dyDescent="0.25">
      <c r="K46">
        <v>1.0581340640000001</v>
      </c>
      <c r="L46">
        <v>26.562769360000001</v>
      </c>
      <c r="N46">
        <v>2.58</v>
      </c>
      <c r="O46">
        <v>50.882208400000003</v>
      </c>
    </row>
    <row r="47" spans="11:15" x14ac:dyDescent="0.25">
      <c r="K47">
        <v>1.0885655249999999</v>
      </c>
      <c r="L47">
        <v>27.089476399999999</v>
      </c>
      <c r="N47">
        <v>2.64</v>
      </c>
      <c r="O47">
        <v>51.769455600000001</v>
      </c>
    </row>
    <row r="48" spans="11:15" x14ac:dyDescent="0.25">
      <c r="K48">
        <v>1.125094569</v>
      </c>
      <c r="L48">
        <v>27.615968890000001</v>
      </c>
      <c r="N48">
        <v>2.7</v>
      </c>
      <c r="O48">
        <v>52.651113899999999</v>
      </c>
    </row>
    <row r="49" spans="11:15" x14ac:dyDescent="0.25">
      <c r="K49">
        <v>1.1737736139999999</v>
      </c>
      <c r="L49">
        <v>28.564256109999999</v>
      </c>
      <c r="N49">
        <v>2.76</v>
      </c>
      <c r="O49">
        <v>53.527140099999997</v>
      </c>
    </row>
    <row r="50" spans="11:15" x14ac:dyDescent="0.25">
      <c r="K50">
        <v>1.210280075</v>
      </c>
      <c r="L50">
        <v>29.301860520000002</v>
      </c>
      <c r="N50">
        <v>2.82</v>
      </c>
      <c r="O50">
        <v>54.3974963</v>
      </c>
    </row>
    <row r="51" spans="11:15" x14ac:dyDescent="0.25">
      <c r="K51">
        <v>1.2407228269999999</v>
      </c>
      <c r="L51">
        <v>29.7230116</v>
      </c>
      <c r="N51">
        <v>2.88</v>
      </c>
      <c r="O51">
        <v>55.262149700000002</v>
      </c>
    </row>
    <row r="52" spans="11:15" x14ac:dyDescent="0.25">
      <c r="K52">
        <v>1.2894244560000001</v>
      </c>
      <c r="L52">
        <v>30.460186920000002</v>
      </c>
      <c r="N52">
        <v>2.94</v>
      </c>
      <c r="O52">
        <v>56.121072900000001</v>
      </c>
    </row>
    <row r="53" spans="11:15" x14ac:dyDescent="0.25">
      <c r="K53">
        <v>1.332039792</v>
      </c>
      <c r="L53">
        <v>31.092020819999998</v>
      </c>
      <c r="N53">
        <v>3</v>
      </c>
      <c r="O53">
        <v>56.974242799999999</v>
      </c>
    </row>
    <row r="54" spans="11:15" x14ac:dyDescent="0.25">
      <c r="K54">
        <v>1.374655129</v>
      </c>
      <c r="L54">
        <v>31.723854729999999</v>
      </c>
    </row>
    <row r="55" spans="11:15" x14ac:dyDescent="0.25">
      <c r="K55">
        <v>1.43551805</v>
      </c>
      <c r="L55">
        <v>32.777268810000002</v>
      </c>
    </row>
    <row r="56" spans="11:15" x14ac:dyDescent="0.25">
      <c r="K56">
        <v>1.4659608019999999</v>
      </c>
      <c r="L56">
        <v>33.198419899999998</v>
      </c>
    </row>
    <row r="57" spans="11:15" x14ac:dyDescent="0.25">
      <c r="K57">
        <v>1.496380971</v>
      </c>
      <c r="L57">
        <v>33.830682889999999</v>
      </c>
    </row>
    <row r="58" spans="11:15" x14ac:dyDescent="0.25">
      <c r="K58">
        <v>1.5268124320000001</v>
      </c>
      <c r="L58">
        <v>34.357389929999997</v>
      </c>
    </row>
    <row r="59" spans="11:15" x14ac:dyDescent="0.25">
      <c r="K59">
        <v>1.563341476</v>
      </c>
      <c r="L59">
        <v>34.88388243</v>
      </c>
    </row>
    <row r="60" spans="11:15" x14ac:dyDescent="0.25">
      <c r="K60">
        <v>1.599859229</v>
      </c>
      <c r="L60">
        <v>35.515930879999999</v>
      </c>
    </row>
    <row r="61" spans="11:15" x14ac:dyDescent="0.25">
      <c r="K61">
        <v>1.6363882729999999</v>
      </c>
      <c r="L61">
        <v>36.042423380000002</v>
      </c>
    </row>
    <row r="62" spans="11:15" x14ac:dyDescent="0.25">
      <c r="K62">
        <v>1.6850786099999999</v>
      </c>
      <c r="L62">
        <v>36.885154640000003</v>
      </c>
    </row>
    <row r="63" spans="11:15" x14ac:dyDescent="0.25">
      <c r="K63">
        <v>1.721596363</v>
      </c>
      <c r="L63">
        <v>37.517203090000002</v>
      </c>
    </row>
    <row r="64" spans="11:15" x14ac:dyDescent="0.25">
      <c r="K64">
        <v>1.7581254070000001</v>
      </c>
      <c r="L64">
        <v>38.043695589999999</v>
      </c>
    </row>
    <row r="65" spans="11:12" x14ac:dyDescent="0.25">
      <c r="K65">
        <v>1.794631868</v>
      </c>
      <c r="L65">
        <v>38.781299990000001</v>
      </c>
    </row>
    <row r="66" spans="11:12" x14ac:dyDescent="0.25">
      <c r="K66">
        <v>1.8555286639999999</v>
      </c>
      <c r="L66">
        <v>39.518046210000001</v>
      </c>
    </row>
    <row r="67" spans="11:12" x14ac:dyDescent="0.25">
      <c r="K67">
        <v>1.885960125</v>
      </c>
      <c r="L67">
        <v>40.044753249999999</v>
      </c>
    </row>
    <row r="68" spans="11:12" x14ac:dyDescent="0.25">
      <c r="K68">
        <v>1.9285528780000001</v>
      </c>
      <c r="L68">
        <v>40.887699069999996</v>
      </c>
    </row>
    <row r="69" spans="11:12" x14ac:dyDescent="0.25">
      <c r="K69">
        <v>1.95899563</v>
      </c>
      <c r="L69">
        <v>41.308850149999998</v>
      </c>
    </row>
    <row r="70" spans="11:12" x14ac:dyDescent="0.25">
      <c r="K70">
        <v>1.995524675</v>
      </c>
      <c r="L70">
        <v>41.835342650000001</v>
      </c>
    </row>
    <row r="71" spans="11:12" x14ac:dyDescent="0.25">
      <c r="K71">
        <v>2.0442375949999998</v>
      </c>
      <c r="L71">
        <v>42.466962010000003</v>
      </c>
    </row>
    <row r="72" spans="11:12" x14ac:dyDescent="0.25">
      <c r="K72">
        <v>2.0807553479999998</v>
      </c>
      <c r="L72">
        <v>43.099010460000002</v>
      </c>
    </row>
    <row r="73" spans="11:12" x14ac:dyDescent="0.25">
      <c r="K73">
        <v>2.1172730999999998</v>
      </c>
      <c r="L73">
        <v>43.731058910000002</v>
      </c>
    </row>
    <row r="74" spans="11:12" x14ac:dyDescent="0.25">
      <c r="K74">
        <v>2.1537908529999998</v>
      </c>
      <c r="L74">
        <v>44.363107360000001</v>
      </c>
    </row>
    <row r="75" spans="11:12" x14ac:dyDescent="0.25">
      <c r="K75">
        <v>2.1903311890000001</v>
      </c>
      <c r="L75">
        <v>44.7840439</v>
      </c>
    </row>
    <row r="76" spans="11:12" x14ac:dyDescent="0.25">
      <c r="K76">
        <v>2.2268489420000002</v>
      </c>
      <c r="L76">
        <v>45.41609235</v>
      </c>
    </row>
    <row r="77" spans="11:12" x14ac:dyDescent="0.25">
      <c r="K77">
        <v>2.2755505700000001</v>
      </c>
      <c r="L77">
        <v>46.153267669999998</v>
      </c>
    </row>
    <row r="78" spans="11:12" x14ac:dyDescent="0.25">
      <c r="K78">
        <v>2.3181433230000001</v>
      </c>
      <c r="L78">
        <v>46.996213480000002</v>
      </c>
    </row>
    <row r="79" spans="11:12" x14ac:dyDescent="0.25">
      <c r="K79">
        <v>2.3790514119999999</v>
      </c>
      <c r="L79">
        <v>47.627403749999999</v>
      </c>
    </row>
    <row r="80" spans="11:12" x14ac:dyDescent="0.25">
      <c r="K80">
        <v>2.427730457</v>
      </c>
      <c r="L80">
        <v>48.575690969999997</v>
      </c>
    </row>
    <row r="81" spans="11:12" x14ac:dyDescent="0.25">
      <c r="K81">
        <v>2.4642707929999998</v>
      </c>
      <c r="L81">
        <v>48.996627510000003</v>
      </c>
    </row>
    <row r="82" spans="11:12" x14ac:dyDescent="0.25">
      <c r="K82">
        <v>2.5129724219999998</v>
      </c>
      <c r="L82">
        <v>49.733802820000001</v>
      </c>
    </row>
    <row r="83" spans="11:12" x14ac:dyDescent="0.25">
      <c r="K83">
        <v>2.5616853420000001</v>
      </c>
      <c r="L83">
        <v>50.365422180000003</v>
      </c>
    </row>
    <row r="84" spans="11:12" x14ac:dyDescent="0.25">
      <c r="K84">
        <v>2.5921055110000002</v>
      </c>
      <c r="L84">
        <v>50.997685179999998</v>
      </c>
    </row>
    <row r="85" spans="11:12" x14ac:dyDescent="0.25">
      <c r="K85">
        <v>2.6529571399999998</v>
      </c>
      <c r="L85">
        <v>52.156655209999997</v>
      </c>
    </row>
    <row r="86" spans="11:12" x14ac:dyDescent="0.25">
      <c r="K86">
        <v>2.6286345550000001</v>
      </c>
      <c r="L86">
        <v>51.52417767</v>
      </c>
    </row>
    <row r="87" spans="11:12" x14ac:dyDescent="0.25">
      <c r="K87">
        <v>2.69559506</v>
      </c>
      <c r="L87">
        <v>52.577377210000002</v>
      </c>
    </row>
    <row r="88" spans="11:12" x14ac:dyDescent="0.25">
      <c r="K88">
        <v>2.738221689</v>
      </c>
      <c r="L88">
        <v>53.103655160000002</v>
      </c>
    </row>
    <row r="89" spans="11:12" x14ac:dyDescent="0.25">
      <c r="K89">
        <v>2.7930209009999998</v>
      </c>
      <c r="L89">
        <v>53.840615929999998</v>
      </c>
    </row>
    <row r="90" spans="11:12" x14ac:dyDescent="0.25">
      <c r="K90">
        <v>2.8173660699999998</v>
      </c>
      <c r="L90">
        <v>54.261981560000002</v>
      </c>
    </row>
    <row r="91" spans="11:12" x14ac:dyDescent="0.25">
      <c r="K91">
        <v>2.8477862379999999</v>
      </c>
      <c r="L91">
        <v>54.894244559999997</v>
      </c>
    </row>
    <row r="92" spans="11:12" x14ac:dyDescent="0.25">
      <c r="K92">
        <v>2.9025967430000001</v>
      </c>
      <c r="L92">
        <v>55.525649369999996</v>
      </c>
    </row>
    <row r="93" spans="11:12" x14ac:dyDescent="0.25">
      <c r="K93">
        <v>2.9330282030000001</v>
      </c>
      <c r="L93">
        <v>56.052356420000002</v>
      </c>
    </row>
    <row r="94" spans="11:12" x14ac:dyDescent="0.25">
      <c r="K94">
        <v>2.9634935389999999</v>
      </c>
      <c r="L94">
        <v>56.262395599999998</v>
      </c>
    </row>
    <row r="95" spans="11:12" x14ac:dyDescent="0.25">
      <c r="K95">
        <v>2.9939249999999999</v>
      </c>
      <c r="L95">
        <v>56.789102640000003</v>
      </c>
    </row>
  </sheetData>
  <mergeCells count="3">
    <mergeCell ref="D2:F2"/>
    <mergeCell ref="K2:L2"/>
    <mergeCell ref="N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2022-07-08T09:59:39Z</dcterms:modified>
</cp:coreProperties>
</file>