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ndergraduate Studies\MEAD\Διπλωματική Εργασία\3. Αριθμητικά Μοντέλα\Συνδυαστική Φόρτιση Ενισχυμένου Κελύφους\Ισότροπο\"/>
    </mc:Choice>
  </mc:AlternateContent>
  <xr:revisionPtr revIDLastSave="0" documentId="13_ncr:1_{B4F4092C-9675-427E-BE38-39C1AC12CF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" i="1"/>
  <c r="I17" i="1"/>
  <c r="J17" i="1"/>
  <c r="J18" i="1"/>
  <c r="I18" i="1"/>
  <c r="D14" i="1"/>
  <c r="D13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4" i="1"/>
  <c r="I4" i="1"/>
  <c r="J6" i="1"/>
  <c r="I6" i="1"/>
  <c r="J5" i="1"/>
  <c r="I5" i="1"/>
  <c r="E8" i="1"/>
  <c r="E7" i="1"/>
  <c r="E6" i="1"/>
  <c r="E5" i="1"/>
</calcChain>
</file>

<file path=xl/sharedStrings.xml><?xml version="1.0" encoding="utf-8"?>
<sst xmlns="http://schemas.openxmlformats.org/spreadsheetml/2006/main" count="18" uniqueCount="18">
  <si>
    <t>Mesh Check</t>
  </si>
  <si>
    <t xml:space="preserve">ESIZE </t>
  </si>
  <si>
    <t>Pcr</t>
  </si>
  <si>
    <t>δ</t>
  </si>
  <si>
    <t>-</t>
  </si>
  <si>
    <t>Pcr, Compression</t>
  </si>
  <si>
    <t>Pcr, Shear</t>
  </si>
  <si>
    <t>Combined Loading Law</t>
  </si>
  <si>
    <t>Rs</t>
  </si>
  <si>
    <t>Rc</t>
  </si>
  <si>
    <t>Ns</t>
  </si>
  <si>
    <t>Nc</t>
  </si>
  <si>
    <t>R_c</t>
  </si>
  <si>
    <t>R_s (n=1)</t>
  </si>
  <si>
    <t>R_s (n = 1.5)</t>
  </si>
  <si>
    <t>R_s (n=2)</t>
  </si>
  <si>
    <t>Ucr, Compression</t>
  </si>
  <si>
    <t>Ucr, Shear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</si>
</sst>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Καμπύλη</a:t>
            </a:r>
            <a:r>
              <a:rPr lang="el-GR" baseline="0"/>
              <a:t> αλληλεπίδρασης φορτίων</a:t>
            </a:r>
            <a:endParaRPr lang="en-US"/>
          </a:p>
        </c:rich>
      </c:tx>
      <c:layout>
        <c:manualLayout>
          <c:xMode val="edge"/>
          <c:yMode val="edge"/>
          <c:x val="0.3102350024443048"/>
          <c:y val="2.6382416707848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Rδ^2 + Rθ =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Φύλλο1!$L$4:$L$44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  <c:extLst xmlns:c15="http://schemas.microsoft.com/office/drawing/2012/chart"/>
            </c:numRef>
          </c:xVal>
          <c:yVal>
            <c:numRef>
              <c:f>Φύλλο1!$O$4:$O$44</c:f>
              <c:numCache>
                <c:formatCode>General</c:formatCode>
                <c:ptCount val="41"/>
                <c:pt idx="0">
                  <c:v>1</c:v>
                </c:pt>
                <c:pt idx="1">
                  <c:v>0.98742088299999997</c:v>
                </c:pt>
                <c:pt idx="2">
                  <c:v>0.97467943400000001</c:v>
                </c:pt>
                <c:pt idx="3">
                  <c:v>0.96176920300000002</c:v>
                </c:pt>
                <c:pt idx="4">
                  <c:v>0.94868329799999995</c:v>
                </c:pt>
                <c:pt idx="5">
                  <c:v>0.93541434700000003</c:v>
                </c:pt>
                <c:pt idx="6">
                  <c:v>0.92195444599999998</c:v>
                </c:pt>
                <c:pt idx="7">
                  <c:v>0.90829510599999996</c:v>
                </c:pt>
                <c:pt idx="8">
                  <c:v>0.89442719100000001</c:v>
                </c:pt>
                <c:pt idx="9">
                  <c:v>0.88034084300000004</c:v>
                </c:pt>
                <c:pt idx="10">
                  <c:v>0.86602540400000005</c:v>
                </c:pt>
                <c:pt idx="11">
                  <c:v>0.85146931800000003</c:v>
                </c:pt>
                <c:pt idx="12">
                  <c:v>0.83666002699999997</c:v>
                </c:pt>
                <c:pt idx="13">
                  <c:v>0.82158383599999996</c:v>
                </c:pt>
                <c:pt idx="14">
                  <c:v>0.80622577500000003</c:v>
                </c:pt>
                <c:pt idx="15">
                  <c:v>0.790569415</c:v>
                </c:pt>
                <c:pt idx="16">
                  <c:v>0.77459666900000002</c:v>
                </c:pt>
                <c:pt idx="17">
                  <c:v>0.75828754399999998</c:v>
                </c:pt>
                <c:pt idx="18">
                  <c:v>0.741619849</c:v>
                </c:pt>
                <c:pt idx="19">
                  <c:v>0.72456883699999997</c:v>
                </c:pt>
                <c:pt idx="20">
                  <c:v>0.70710678100000002</c:v>
                </c:pt>
                <c:pt idx="21">
                  <c:v>0.68920243800000003</c:v>
                </c:pt>
                <c:pt idx="22">
                  <c:v>0.67082039299999996</c:v>
                </c:pt>
                <c:pt idx="23">
                  <c:v>0.65192024100000001</c:v>
                </c:pt>
                <c:pt idx="24">
                  <c:v>0.63245553200000004</c:v>
                </c:pt>
                <c:pt idx="25">
                  <c:v>0.61237243600000002</c:v>
                </c:pt>
                <c:pt idx="26">
                  <c:v>0.59160797799999998</c:v>
                </c:pt>
                <c:pt idx="27">
                  <c:v>0.57008771300000005</c:v>
                </c:pt>
                <c:pt idx="28">
                  <c:v>0.54772255800000003</c:v>
                </c:pt>
                <c:pt idx="29">
                  <c:v>0.52440442399999998</c:v>
                </c:pt>
                <c:pt idx="30">
                  <c:v>0.5</c:v>
                </c:pt>
                <c:pt idx="31">
                  <c:v>0.47434164899999998</c:v>
                </c:pt>
                <c:pt idx="32">
                  <c:v>0.44721359500000002</c:v>
                </c:pt>
                <c:pt idx="33">
                  <c:v>0.418330013</c:v>
                </c:pt>
                <c:pt idx="34">
                  <c:v>0.38729833499999999</c:v>
                </c:pt>
                <c:pt idx="35">
                  <c:v>0.35355339099999999</c:v>
                </c:pt>
                <c:pt idx="36">
                  <c:v>0.31622776600000002</c:v>
                </c:pt>
                <c:pt idx="37">
                  <c:v>0.27386127900000001</c:v>
                </c:pt>
                <c:pt idx="38">
                  <c:v>0.223606798</c:v>
                </c:pt>
                <c:pt idx="39">
                  <c:v>0.15811388300000001</c:v>
                </c:pt>
                <c:pt idx="40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00E7-44EA-BABB-D021F027CD77}"/>
            </c:ext>
          </c:extLst>
        </c:ser>
        <c:ser>
          <c:idx val="3"/>
          <c:order val="3"/>
          <c:tx>
            <c:v>Rδ^1.5 + Rθ = 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Φύλλο1!$L$4:$L$44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xVal>
          <c:yVal>
            <c:numRef>
              <c:f>Φύλλο1!$N$4:$N$44</c:f>
              <c:numCache>
                <c:formatCode>General</c:formatCode>
                <c:ptCount val="41"/>
                <c:pt idx="0">
                  <c:v>1</c:v>
                </c:pt>
                <c:pt idx="1">
                  <c:v>0.983263106</c:v>
                </c:pt>
                <c:pt idx="2">
                  <c:v>0.96638252999999996</c:v>
                </c:pt>
                <c:pt idx="3">
                  <c:v>0.94935320700000003</c:v>
                </c:pt>
                <c:pt idx="4">
                  <c:v>0.93216975199999996</c:v>
                </c:pt>
                <c:pt idx="5">
                  <c:v>0.91482642800000002</c:v>
                </c:pt>
                <c:pt idx="6">
                  <c:v>0.89731711300000006</c:v>
                </c:pt>
                <c:pt idx="7">
                  <c:v>0.87963526599999997</c:v>
                </c:pt>
                <c:pt idx="8">
                  <c:v>0.86177387599999999</c:v>
                </c:pt>
                <c:pt idx="9">
                  <c:v>0.843725422</c:v>
                </c:pt>
                <c:pt idx="10">
                  <c:v>0.82548181200000004</c:v>
                </c:pt>
                <c:pt idx="11">
                  <c:v>0.80703432100000005</c:v>
                </c:pt>
                <c:pt idx="12">
                  <c:v>0.78837351600000005</c:v>
                </c:pt>
                <c:pt idx="13">
                  <c:v>0.769489176</c:v>
                </c:pt>
                <c:pt idx="14">
                  <c:v>0.75037018799999999</c:v>
                </c:pt>
                <c:pt idx="15">
                  <c:v>0.73100443500000001</c:v>
                </c:pt>
                <c:pt idx="16">
                  <c:v>0.71137866100000002</c:v>
                </c:pt>
                <c:pt idx="17">
                  <c:v>0.69147831199999998</c:v>
                </c:pt>
                <c:pt idx="18">
                  <c:v>0.67128734400000001</c:v>
                </c:pt>
                <c:pt idx="19">
                  <c:v>0.65078799899999995</c:v>
                </c:pt>
                <c:pt idx="20">
                  <c:v>0.62996052499999999</c:v>
                </c:pt>
                <c:pt idx="21">
                  <c:v>0.60878284599999999</c:v>
                </c:pt>
                <c:pt idx="22">
                  <c:v>0.58723014600000001</c:v>
                </c:pt>
                <c:pt idx="23">
                  <c:v>0.56527435999999998</c:v>
                </c:pt>
                <c:pt idx="24">
                  <c:v>0.54288352299999998</c:v>
                </c:pt>
                <c:pt idx="25">
                  <c:v>0.52002095599999998</c:v>
                </c:pt>
                <c:pt idx="26">
                  <c:v>0.49664419399999998</c:v>
                </c:pt>
                <c:pt idx="27">
                  <c:v>0.47270359699999998</c:v>
                </c:pt>
                <c:pt idx="28">
                  <c:v>0.44814047499999998</c:v>
                </c:pt>
                <c:pt idx="29">
                  <c:v>0.42288452799999998</c:v>
                </c:pt>
                <c:pt idx="30">
                  <c:v>0.39685026299999998</c:v>
                </c:pt>
                <c:pt idx="31">
                  <c:v>0.369931811</c:v>
                </c:pt>
                <c:pt idx="32">
                  <c:v>0.34199518899999998</c:v>
                </c:pt>
                <c:pt idx="33">
                  <c:v>0.31286623699999999</c:v>
                </c:pt>
                <c:pt idx="34">
                  <c:v>0.282310809</c:v>
                </c:pt>
                <c:pt idx="35">
                  <c:v>0.25</c:v>
                </c:pt>
                <c:pt idx="36">
                  <c:v>0.215443469</c:v>
                </c:pt>
                <c:pt idx="37">
                  <c:v>0.17784466500000001</c:v>
                </c:pt>
                <c:pt idx="38">
                  <c:v>0.13572088099999999</c:v>
                </c:pt>
                <c:pt idx="39">
                  <c:v>8.5498797000000001E-2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3D-4B22-860E-42B99B9DC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985440"/>
        <c:axId val="91994248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Φύλλο1!$L$4:$L$44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0</c:v>
                      </c:pt>
                      <c:pt idx="1">
                        <c:v>2.5000000000000001E-2</c:v>
                      </c:pt>
                      <c:pt idx="2">
                        <c:v>0.05</c:v>
                      </c:pt>
                      <c:pt idx="3">
                        <c:v>7.4999999999999997E-2</c:v>
                      </c:pt>
                      <c:pt idx="4">
                        <c:v>0.1</c:v>
                      </c:pt>
                      <c:pt idx="5">
                        <c:v>0.125</c:v>
                      </c:pt>
                      <c:pt idx="6">
                        <c:v>0.15</c:v>
                      </c:pt>
                      <c:pt idx="7">
                        <c:v>0.17499999999999999</c:v>
                      </c:pt>
                      <c:pt idx="8">
                        <c:v>0.2</c:v>
                      </c:pt>
                      <c:pt idx="9">
                        <c:v>0.22500000000000001</c:v>
                      </c:pt>
                      <c:pt idx="10">
                        <c:v>0.25</c:v>
                      </c:pt>
                      <c:pt idx="11">
                        <c:v>0.27500000000000002</c:v>
                      </c:pt>
                      <c:pt idx="12">
                        <c:v>0.3</c:v>
                      </c:pt>
                      <c:pt idx="13">
                        <c:v>0.32500000000000001</c:v>
                      </c:pt>
                      <c:pt idx="14">
                        <c:v>0.35</c:v>
                      </c:pt>
                      <c:pt idx="15">
                        <c:v>0.375</c:v>
                      </c:pt>
                      <c:pt idx="16">
                        <c:v>0.4</c:v>
                      </c:pt>
                      <c:pt idx="17">
                        <c:v>0.42499999999999999</c:v>
                      </c:pt>
                      <c:pt idx="18">
                        <c:v>0.45</c:v>
                      </c:pt>
                      <c:pt idx="19">
                        <c:v>0.47499999999999998</c:v>
                      </c:pt>
                      <c:pt idx="20">
                        <c:v>0.5</c:v>
                      </c:pt>
                      <c:pt idx="21">
                        <c:v>0.52500000000000002</c:v>
                      </c:pt>
                      <c:pt idx="22">
                        <c:v>0.55000000000000004</c:v>
                      </c:pt>
                      <c:pt idx="23">
                        <c:v>0.57499999999999996</c:v>
                      </c:pt>
                      <c:pt idx="24">
                        <c:v>0.6</c:v>
                      </c:pt>
                      <c:pt idx="25">
                        <c:v>0.625</c:v>
                      </c:pt>
                      <c:pt idx="26">
                        <c:v>0.65</c:v>
                      </c:pt>
                      <c:pt idx="27">
                        <c:v>0.67500000000000004</c:v>
                      </c:pt>
                      <c:pt idx="28">
                        <c:v>0.7</c:v>
                      </c:pt>
                      <c:pt idx="29">
                        <c:v>0.72499999999999998</c:v>
                      </c:pt>
                      <c:pt idx="30">
                        <c:v>0.75</c:v>
                      </c:pt>
                      <c:pt idx="31">
                        <c:v>0.77500000000000002</c:v>
                      </c:pt>
                      <c:pt idx="32">
                        <c:v>0.8</c:v>
                      </c:pt>
                      <c:pt idx="33">
                        <c:v>0.82499999999999996</c:v>
                      </c:pt>
                      <c:pt idx="34">
                        <c:v>0.85</c:v>
                      </c:pt>
                      <c:pt idx="35">
                        <c:v>0.875</c:v>
                      </c:pt>
                      <c:pt idx="36">
                        <c:v>0.9</c:v>
                      </c:pt>
                      <c:pt idx="37">
                        <c:v>0.92500000000000004</c:v>
                      </c:pt>
                      <c:pt idx="38">
                        <c:v>0.95</c:v>
                      </c:pt>
                      <c:pt idx="39">
                        <c:v>0.97499999999999998</c:v>
                      </c:pt>
                      <c:pt idx="40">
                        <c:v>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Φύλλο1!$M$4:$M$44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1</c:v>
                      </c:pt>
                      <c:pt idx="1">
                        <c:v>0.97499999999999998</c:v>
                      </c:pt>
                      <c:pt idx="2">
                        <c:v>0.95</c:v>
                      </c:pt>
                      <c:pt idx="3">
                        <c:v>0.92500000000000004</c:v>
                      </c:pt>
                      <c:pt idx="4">
                        <c:v>0.9</c:v>
                      </c:pt>
                      <c:pt idx="5">
                        <c:v>0.875</c:v>
                      </c:pt>
                      <c:pt idx="6">
                        <c:v>0.85</c:v>
                      </c:pt>
                      <c:pt idx="7">
                        <c:v>0.82499999999999996</c:v>
                      </c:pt>
                      <c:pt idx="8">
                        <c:v>0.8</c:v>
                      </c:pt>
                      <c:pt idx="9">
                        <c:v>0.77500000000000002</c:v>
                      </c:pt>
                      <c:pt idx="10">
                        <c:v>0.75</c:v>
                      </c:pt>
                      <c:pt idx="11">
                        <c:v>0.72499999999999998</c:v>
                      </c:pt>
                      <c:pt idx="12">
                        <c:v>0.7</c:v>
                      </c:pt>
                      <c:pt idx="13">
                        <c:v>0.67500000000000004</c:v>
                      </c:pt>
                      <c:pt idx="14">
                        <c:v>0.65</c:v>
                      </c:pt>
                      <c:pt idx="15">
                        <c:v>0.625</c:v>
                      </c:pt>
                      <c:pt idx="16">
                        <c:v>0.6</c:v>
                      </c:pt>
                      <c:pt idx="17">
                        <c:v>0.57499999999999996</c:v>
                      </c:pt>
                      <c:pt idx="18">
                        <c:v>0.55000000000000004</c:v>
                      </c:pt>
                      <c:pt idx="19">
                        <c:v>0.52500000000000002</c:v>
                      </c:pt>
                      <c:pt idx="20">
                        <c:v>0.5</c:v>
                      </c:pt>
                      <c:pt idx="21">
                        <c:v>0.47499999999999998</c:v>
                      </c:pt>
                      <c:pt idx="22">
                        <c:v>0.45</c:v>
                      </c:pt>
                      <c:pt idx="23">
                        <c:v>0.42499999999999999</c:v>
                      </c:pt>
                      <c:pt idx="24">
                        <c:v>0.4</c:v>
                      </c:pt>
                      <c:pt idx="25">
                        <c:v>0.375</c:v>
                      </c:pt>
                      <c:pt idx="26">
                        <c:v>0.35</c:v>
                      </c:pt>
                      <c:pt idx="27">
                        <c:v>0.32500000000000001</c:v>
                      </c:pt>
                      <c:pt idx="28">
                        <c:v>0.3</c:v>
                      </c:pt>
                      <c:pt idx="29">
                        <c:v>0.27500000000000002</c:v>
                      </c:pt>
                      <c:pt idx="30">
                        <c:v>0.25</c:v>
                      </c:pt>
                      <c:pt idx="31">
                        <c:v>0.22500000000000001</c:v>
                      </c:pt>
                      <c:pt idx="32">
                        <c:v>0.2</c:v>
                      </c:pt>
                      <c:pt idx="33">
                        <c:v>0.17499999999999999</c:v>
                      </c:pt>
                      <c:pt idx="34">
                        <c:v>0.15</c:v>
                      </c:pt>
                      <c:pt idx="35">
                        <c:v>0.125</c:v>
                      </c:pt>
                      <c:pt idx="36">
                        <c:v>0.1</c:v>
                      </c:pt>
                      <c:pt idx="37">
                        <c:v>7.4999999999999997E-2</c:v>
                      </c:pt>
                      <c:pt idx="38">
                        <c:v>0.05</c:v>
                      </c:pt>
                      <c:pt idx="39">
                        <c:v>2.5000000000000001E-2</c:v>
                      </c:pt>
                      <c:pt idx="4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C03D-4B22-860E-42B99B9DC970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0"/>
          <c:order val="0"/>
          <c:tx>
            <c:v>Αριθμητικό Μοντέλο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Φύλλο1!$I$4:$I$18</c:f>
              <c:numCache>
                <c:formatCode>General</c:formatCode>
                <c:ptCount val="15"/>
                <c:pt idx="0">
                  <c:v>0</c:v>
                </c:pt>
                <c:pt idx="1">
                  <c:v>9.4262326582375766E-2</c:v>
                </c:pt>
                <c:pt idx="2">
                  <c:v>0.19551299911609854</c:v>
                </c:pt>
                <c:pt idx="3">
                  <c:v>0.27486933630529187</c:v>
                </c:pt>
                <c:pt idx="4">
                  <c:v>0.37112332346950538</c:v>
                </c:pt>
                <c:pt idx="5">
                  <c:v>0.46573200491910383</c:v>
                </c:pt>
                <c:pt idx="6">
                  <c:v>0.54762259329003493</c:v>
                </c:pt>
                <c:pt idx="7">
                  <c:v>0.64492621344298828</c:v>
                </c:pt>
                <c:pt idx="8">
                  <c:v>0.6931516851773567</c:v>
                </c:pt>
                <c:pt idx="9">
                  <c:v>0.74302966834479844</c:v>
                </c:pt>
                <c:pt idx="10">
                  <c:v>0.7979924868375543</c:v>
                </c:pt>
                <c:pt idx="11">
                  <c:v>0.87177183813074055</c:v>
                </c:pt>
                <c:pt idx="12">
                  <c:v>0.92665539372045658</c:v>
                </c:pt>
                <c:pt idx="13">
                  <c:v>0.95836055493639749</c:v>
                </c:pt>
                <c:pt idx="14">
                  <c:v>1</c:v>
                </c:pt>
              </c:numCache>
            </c:numRef>
          </c:xVal>
          <c:yVal>
            <c:numRef>
              <c:f>Φύλλο1!$J$4:$J$18</c:f>
              <c:numCache>
                <c:formatCode>General</c:formatCode>
                <c:ptCount val="15"/>
                <c:pt idx="0">
                  <c:v>1</c:v>
                </c:pt>
                <c:pt idx="1">
                  <c:v>0.93389645538676447</c:v>
                </c:pt>
                <c:pt idx="2">
                  <c:v>0.8834555613759385</c:v>
                </c:pt>
                <c:pt idx="3">
                  <c:v>0.82605203422385187</c:v>
                </c:pt>
                <c:pt idx="4">
                  <c:v>0.75318229439497109</c:v>
                </c:pt>
                <c:pt idx="5">
                  <c:v>0.68794744194167967</c:v>
                </c:pt>
                <c:pt idx="6">
                  <c:v>0.62705605028810885</c:v>
                </c:pt>
                <c:pt idx="7">
                  <c:v>0.5409769512833944</c:v>
                </c:pt>
                <c:pt idx="8">
                  <c:v>0.50814999126942551</c:v>
                </c:pt>
                <c:pt idx="9">
                  <c:v>0.45260171119259646</c:v>
                </c:pt>
                <c:pt idx="10">
                  <c:v>0.38842325825039287</c:v>
                </c:pt>
                <c:pt idx="11">
                  <c:v>0.29980792736162043</c:v>
                </c:pt>
                <c:pt idx="12">
                  <c:v>0.22655840754321632</c:v>
                </c:pt>
                <c:pt idx="13">
                  <c:v>0.12030731622140736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0-4F5D-A253-96A440A22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985440"/>
        <c:axId val="919942480"/>
      </c:scatterChart>
      <c:valAx>
        <c:axId val="86398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l-GR"/>
                  <a:t>θ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942480"/>
        <c:crosses val="autoZero"/>
        <c:crossBetween val="midCat"/>
      </c:valAx>
      <c:valAx>
        <c:axId val="91994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l-GR"/>
                  <a:t>δ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98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Καμπύλη αλληλεπίδρασης φορτίων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1"/>
          <c:tx>
            <c:v>Αριθμητικό Μοντέλο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Φύλλο1!$I$4:$I$18</c:f>
              <c:numCache>
                <c:formatCode>General</c:formatCode>
                <c:ptCount val="15"/>
                <c:pt idx="0">
                  <c:v>0</c:v>
                </c:pt>
                <c:pt idx="1">
                  <c:v>9.4262326582375766E-2</c:v>
                </c:pt>
                <c:pt idx="2">
                  <c:v>0.19551299911609854</c:v>
                </c:pt>
                <c:pt idx="3">
                  <c:v>0.27486933630529187</c:v>
                </c:pt>
                <c:pt idx="4">
                  <c:v>0.37112332346950538</c:v>
                </c:pt>
                <c:pt idx="5">
                  <c:v>0.46573200491910383</c:v>
                </c:pt>
                <c:pt idx="6">
                  <c:v>0.54762259329003493</c:v>
                </c:pt>
                <c:pt idx="7">
                  <c:v>0.64492621344298828</c:v>
                </c:pt>
                <c:pt idx="8">
                  <c:v>0.6931516851773567</c:v>
                </c:pt>
                <c:pt idx="9">
                  <c:v>0.74302966834479844</c:v>
                </c:pt>
                <c:pt idx="10">
                  <c:v>0.7979924868375543</c:v>
                </c:pt>
                <c:pt idx="11">
                  <c:v>0.87177183813074055</c:v>
                </c:pt>
                <c:pt idx="12">
                  <c:v>0.92665539372045658</c:v>
                </c:pt>
                <c:pt idx="13">
                  <c:v>0.95836055493639749</c:v>
                </c:pt>
                <c:pt idx="14">
                  <c:v>1</c:v>
                </c:pt>
              </c:numCache>
            </c:numRef>
          </c:xVal>
          <c:yVal>
            <c:numRef>
              <c:f>Φύλλο1!$J$4:$J$18</c:f>
              <c:numCache>
                <c:formatCode>General</c:formatCode>
                <c:ptCount val="15"/>
                <c:pt idx="0">
                  <c:v>1</c:v>
                </c:pt>
                <c:pt idx="1">
                  <c:v>0.93389645538676447</c:v>
                </c:pt>
                <c:pt idx="2">
                  <c:v>0.8834555613759385</c:v>
                </c:pt>
                <c:pt idx="3">
                  <c:v>0.82605203422385187</c:v>
                </c:pt>
                <c:pt idx="4">
                  <c:v>0.75318229439497109</c:v>
                </c:pt>
                <c:pt idx="5">
                  <c:v>0.68794744194167967</c:v>
                </c:pt>
                <c:pt idx="6">
                  <c:v>0.62705605028810885</c:v>
                </c:pt>
                <c:pt idx="7">
                  <c:v>0.5409769512833944</c:v>
                </c:pt>
                <c:pt idx="8">
                  <c:v>0.50814999126942551</c:v>
                </c:pt>
                <c:pt idx="9">
                  <c:v>0.45260171119259646</c:v>
                </c:pt>
                <c:pt idx="10">
                  <c:v>0.38842325825039287</c:v>
                </c:pt>
                <c:pt idx="11">
                  <c:v>0.29980792736162043</c:v>
                </c:pt>
                <c:pt idx="12">
                  <c:v>0.22655840754321632</c:v>
                </c:pt>
                <c:pt idx="13">
                  <c:v>0.12030731622140736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AB-4DBA-A195-36312AD01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540432"/>
        <c:axId val="1598540016"/>
      </c:scatterChart>
      <c:scatterChart>
        <c:scatterStyle val="smoothMarker"/>
        <c:varyColors val="0"/>
        <c:ser>
          <c:idx val="1"/>
          <c:order val="0"/>
          <c:tx>
            <c:v>Rδ^1.694 + Rθ =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Φύλλο1!$L$4:$L$44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xVal>
          <c:yVal>
            <c:numRef>
              <c:f>Φύλλο1!$P$4:$P$44</c:f>
              <c:numCache>
                <c:formatCode>General</c:formatCode>
                <c:ptCount val="41"/>
                <c:pt idx="0">
                  <c:v>1</c:v>
                </c:pt>
                <c:pt idx="1">
                  <c:v>0.98516555349136015</c:v>
                </c:pt>
                <c:pt idx="2">
                  <c:v>0.97017443421759397</c:v>
                </c:pt>
                <c:pt idx="3">
                  <c:v>0.95502079732553424</c:v>
                </c:pt>
                <c:pt idx="4">
                  <c:v>0.93969841506410612</c:v>
                </c:pt>
                <c:pt idx="5">
                  <c:v>0.92420064029533966</c:v>
                </c:pt>
                <c:pt idx="6">
                  <c:v>0.90852036537845604</c:v>
                </c:pt>
                <c:pt idx="7">
                  <c:v>0.8926499756858729</c:v>
                </c:pt>
                <c:pt idx="8">
                  <c:v>0.87658129686499497</c:v>
                </c:pt>
                <c:pt idx="9">
                  <c:v>0.86030553478085958</c:v>
                </c:pt>
                <c:pt idx="10">
                  <c:v>0.84381320685284888</c:v>
                </c:pt>
                <c:pt idx="11">
                  <c:v>0.82709406322157253</c:v>
                </c:pt>
                <c:pt idx="12">
                  <c:v>0.81013699583354748</c:v>
                </c:pt>
                <c:pt idx="13">
                  <c:v>0.79292993308978288</c:v>
                </c:pt>
                <c:pt idx="14">
                  <c:v>0.77545971714061912</c:v>
                </c:pt>
                <c:pt idx="15">
                  <c:v>0.75771196018321973</c:v>
                </c:pt>
                <c:pt idx="16">
                  <c:v>0.73967087517488039</c:v>
                </c:pt>
                <c:pt idx="17">
                  <c:v>0.72131907513787119</c:v>
                </c:pt>
                <c:pt idx="18">
                  <c:v>0.70263733359107783</c:v>
                </c:pt>
                <c:pt idx="19">
                  <c:v>0.68360429644443876</c:v>
                </c:pt>
                <c:pt idx="20">
                  <c:v>0.66419613270752409</c:v>
                </c:pt>
                <c:pt idx="21">
                  <c:v>0.64438610725903611</c:v>
                </c:pt>
                <c:pt idx="22">
                  <c:v>0.62414405319696908</c:v>
                </c:pt>
                <c:pt idx="23">
                  <c:v>0.60343571317039735</c:v>
                </c:pt>
                <c:pt idx="24">
                  <c:v>0.58222190738147572</c:v>
                </c:pt>
                <c:pt idx="25">
                  <c:v>0.56045746871919622</c:v>
                </c:pt>
                <c:pt idx="26">
                  <c:v>0.53808985959593381</c:v>
                </c:pt>
                <c:pt idx="27">
                  <c:v>0.51505734519526969</c:v>
                </c:pt>
                <c:pt idx="28">
                  <c:v>0.49128653476754541</c:v>
                </c:pt>
                <c:pt idx="29">
                  <c:v>0.46668899966712046</c:v>
                </c:pt>
                <c:pt idx="30">
                  <c:v>0.44115650270363099</c:v>
                </c:pt>
                <c:pt idx="31">
                  <c:v>0.41455406638582609</c:v>
                </c:pt>
                <c:pt idx="32">
                  <c:v>0.38670953926037444</c:v>
                </c:pt>
                <c:pt idx="33">
                  <c:v>0.35739720379275391</c:v>
                </c:pt>
                <c:pt idx="34">
                  <c:v>0.32631061644388432</c:v>
                </c:pt>
                <c:pt idx="35">
                  <c:v>0.29301444301452811</c:v>
                </c:pt>
                <c:pt idx="36">
                  <c:v>0.25685098045784915</c:v>
                </c:pt>
                <c:pt idx="37">
                  <c:v>0.21673424950343609</c:v>
                </c:pt>
                <c:pt idx="38">
                  <c:v>0.17059942790223939</c:v>
                </c:pt>
                <c:pt idx="39">
                  <c:v>0.11331148025478345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AB-4DBA-A195-36312AD01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540432"/>
        <c:axId val="1598540016"/>
      </c:scatterChart>
      <c:valAx>
        <c:axId val="159854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l-GR"/>
                  <a:t>θ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40016"/>
        <c:crosses val="autoZero"/>
        <c:crossBetween val="midCat"/>
      </c:valAx>
      <c:valAx>
        <c:axId val="159854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l-GR"/>
                  <a:t>δ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4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Interaction</a:t>
            </a:r>
            <a:r>
              <a:rPr lang="en-US" baseline="0"/>
              <a:t> Curve - Isotropic Stiffened Shell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1"/>
          <c:tx>
            <c:v>Numerical Model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Φύλλο1!$I$4:$I$18</c:f>
              <c:numCache>
                <c:formatCode>General</c:formatCode>
                <c:ptCount val="15"/>
                <c:pt idx="0">
                  <c:v>0</c:v>
                </c:pt>
                <c:pt idx="1">
                  <c:v>9.4262326582375766E-2</c:v>
                </c:pt>
                <c:pt idx="2">
                  <c:v>0.19551299911609854</c:v>
                </c:pt>
                <c:pt idx="3">
                  <c:v>0.27486933630529187</c:v>
                </c:pt>
                <c:pt idx="4">
                  <c:v>0.37112332346950538</c:v>
                </c:pt>
                <c:pt idx="5">
                  <c:v>0.46573200491910383</c:v>
                </c:pt>
                <c:pt idx="6">
                  <c:v>0.54762259329003493</c:v>
                </c:pt>
                <c:pt idx="7">
                  <c:v>0.64492621344298828</c:v>
                </c:pt>
                <c:pt idx="8">
                  <c:v>0.6931516851773567</c:v>
                </c:pt>
                <c:pt idx="9">
                  <c:v>0.74302966834479844</c:v>
                </c:pt>
                <c:pt idx="10">
                  <c:v>0.7979924868375543</c:v>
                </c:pt>
                <c:pt idx="11">
                  <c:v>0.87177183813074055</c:v>
                </c:pt>
                <c:pt idx="12">
                  <c:v>0.92665539372045658</c:v>
                </c:pt>
                <c:pt idx="13">
                  <c:v>0.95836055493639749</c:v>
                </c:pt>
                <c:pt idx="14">
                  <c:v>1</c:v>
                </c:pt>
              </c:numCache>
            </c:numRef>
          </c:xVal>
          <c:yVal>
            <c:numRef>
              <c:f>Φύλλο1!$J$4:$J$18</c:f>
              <c:numCache>
                <c:formatCode>General</c:formatCode>
                <c:ptCount val="15"/>
                <c:pt idx="0">
                  <c:v>1</c:v>
                </c:pt>
                <c:pt idx="1">
                  <c:v>0.93389645538676447</c:v>
                </c:pt>
                <c:pt idx="2">
                  <c:v>0.8834555613759385</c:v>
                </c:pt>
                <c:pt idx="3">
                  <c:v>0.82605203422385187</c:v>
                </c:pt>
                <c:pt idx="4">
                  <c:v>0.75318229439497109</c:v>
                </c:pt>
                <c:pt idx="5">
                  <c:v>0.68794744194167967</c:v>
                </c:pt>
                <c:pt idx="6">
                  <c:v>0.62705605028810885</c:v>
                </c:pt>
                <c:pt idx="7">
                  <c:v>0.5409769512833944</c:v>
                </c:pt>
                <c:pt idx="8">
                  <c:v>0.50814999126942551</c:v>
                </c:pt>
                <c:pt idx="9">
                  <c:v>0.45260171119259646</c:v>
                </c:pt>
                <c:pt idx="10">
                  <c:v>0.38842325825039287</c:v>
                </c:pt>
                <c:pt idx="11">
                  <c:v>0.29980792736162043</c:v>
                </c:pt>
                <c:pt idx="12">
                  <c:v>0.22655840754321632</c:v>
                </c:pt>
                <c:pt idx="13">
                  <c:v>0.12030731622140736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8C-4624-9D43-B3EE8693F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540432"/>
        <c:axId val="1598540016"/>
      </c:scatterChart>
      <c:scatterChart>
        <c:scatterStyle val="smoothMarker"/>
        <c:varyColors val="0"/>
        <c:ser>
          <c:idx val="1"/>
          <c:order val="0"/>
          <c:tx>
            <c:v>Rs^1.694 + Rc =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Φύλλο1!$L$4:$L$44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xVal>
          <c:yVal>
            <c:numRef>
              <c:f>Φύλλο1!$P$4:$P$44</c:f>
              <c:numCache>
                <c:formatCode>General</c:formatCode>
                <c:ptCount val="41"/>
                <c:pt idx="0">
                  <c:v>1</c:v>
                </c:pt>
                <c:pt idx="1">
                  <c:v>0.98516555349136015</c:v>
                </c:pt>
                <c:pt idx="2">
                  <c:v>0.97017443421759397</c:v>
                </c:pt>
                <c:pt idx="3">
                  <c:v>0.95502079732553424</c:v>
                </c:pt>
                <c:pt idx="4">
                  <c:v>0.93969841506410612</c:v>
                </c:pt>
                <c:pt idx="5">
                  <c:v>0.92420064029533966</c:v>
                </c:pt>
                <c:pt idx="6">
                  <c:v>0.90852036537845604</c:v>
                </c:pt>
                <c:pt idx="7">
                  <c:v>0.8926499756858729</c:v>
                </c:pt>
                <c:pt idx="8">
                  <c:v>0.87658129686499497</c:v>
                </c:pt>
                <c:pt idx="9">
                  <c:v>0.86030553478085958</c:v>
                </c:pt>
                <c:pt idx="10">
                  <c:v>0.84381320685284888</c:v>
                </c:pt>
                <c:pt idx="11">
                  <c:v>0.82709406322157253</c:v>
                </c:pt>
                <c:pt idx="12">
                  <c:v>0.81013699583354748</c:v>
                </c:pt>
                <c:pt idx="13">
                  <c:v>0.79292993308978288</c:v>
                </c:pt>
                <c:pt idx="14">
                  <c:v>0.77545971714061912</c:v>
                </c:pt>
                <c:pt idx="15">
                  <c:v>0.75771196018321973</c:v>
                </c:pt>
                <c:pt idx="16">
                  <c:v>0.73967087517488039</c:v>
                </c:pt>
                <c:pt idx="17">
                  <c:v>0.72131907513787119</c:v>
                </c:pt>
                <c:pt idx="18">
                  <c:v>0.70263733359107783</c:v>
                </c:pt>
                <c:pt idx="19">
                  <c:v>0.68360429644443876</c:v>
                </c:pt>
                <c:pt idx="20">
                  <c:v>0.66419613270752409</c:v>
                </c:pt>
                <c:pt idx="21">
                  <c:v>0.64438610725903611</c:v>
                </c:pt>
                <c:pt idx="22">
                  <c:v>0.62414405319696908</c:v>
                </c:pt>
                <c:pt idx="23">
                  <c:v>0.60343571317039735</c:v>
                </c:pt>
                <c:pt idx="24">
                  <c:v>0.58222190738147572</c:v>
                </c:pt>
                <c:pt idx="25">
                  <c:v>0.56045746871919622</c:v>
                </c:pt>
                <c:pt idx="26">
                  <c:v>0.53808985959593381</c:v>
                </c:pt>
                <c:pt idx="27">
                  <c:v>0.51505734519526969</c:v>
                </c:pt>
                <c:pt idx="28">
                  <c:v>0.49128653476754541</c:v>
                </c:pt>
                <c:pt idx="29">
                  <c:v>0.46668899966712046</c:v>
                </c:pt>
                <c:pt idx="30">
                  <c:v>0.44115650270363099</c:v>
                </c:pt>
                <c:pt idx="31">
                  <c:v>0.41455406638582609</c:v>
                </c:pt>
                <c:pt idx="32">
                  <c:v>0.38670953926037444</c:v>
                </c:pt>
                <c:pt idx="33">
                  <c:v>0.35739720379275391</c:v>
                </c:pt>
                <c:pt idx="34">
                  <c:v>0.32631061644388432</c:v>
                </c:pt>
                <c:pt idx="35">
                  <c:v>0.29301444301452811</c:v>
                </c:pt>
                <c:pt idx="36">
                  <c:v>0.25685098045784915</c:v>
                </c:pt>
                <c:pt idx="37">
                  <c:v>0.21673424950343609</c:v>
                </c:pt>
                <c:pt idx="38">
                  <c:v>0.17059942790223939</c:v>
                </c:pt>
                <c:pt idx="39">
                  <c:v>0.11331148025478345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8C-4624-9D43-B3EE8693F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540432"/>
        <c:axId val="1598540016"/>
      </c:scatterChart>
      <c:valAx>
        <c:axId val="159854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40016"/>
        <c:crosses val="autoZero"/>
        <c:crossBetween val="midCat"/>
      </c:valAx>
      <c:valAx>
        <c:axId val="159854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4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404963</xdr:colOff>
      <xdr:row>2</xdr:row>
      <xdr:rowOff>11764</xdr:rowOff>
    </xdr:from>
    <xdr:to>
      <xdr:col>27</xdr:col>
      <xdr:colOff>9349</xdr:colOff>
      <xdr:row>24</xdr:row>
      <xdr:rowOff>67665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2E0F7-AB31-4126-92A5-AAB200BA8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192443</xdr:colOff>
      <xdr:row>2</xdr:row>
      <xdr:rowOff>18272</xdr:rowOff>
    </xdr:from>
    <xdr:to>
      <xdr:col>36</xdr:col>
      <xdr:colOff>417933</xdr:colOff>
      <xdr:row>24</xdr:row>
      <xdr:rowOff>38877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144567-706E-4332-9984-BF0367CAD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223546</xdr:colOff>
      <xdr:row>25</xdr:row>
      <xdr:rowOff>165229</xdr:rowOff>
    </xdr:from>
    <xdr:to>
      <xdr:col>36</xdr:col>
      <xdr:colOff>449036</xdr:colOff>
      <xdr:row>47</xdr:row>
      <xdr:rowOff>185834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D42E4C-1976-4E4B-B20C-2BF3F181F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P44"/>
  <sheetViews>
    <sheetView tabSelected="1" topLeftCell="K19" zoomScale="98" zoomScaleNormal="98" workbookViewId="0">
      <selection activeCell="AL53" sqref="AL53"/>
    </sheetView>
  </sheetViews>
  <sheetFormatPr defaultRowHeight="15" x14ac:dyDescent="0.25"/>
  <cols>
    <col min="3" max="3" width="18" customWidth="1"/>
    <col min="14" max="14" width="13.42578125" customWidth="1"/>
  </cols>
  <sheetData>
    <row r="2" spans="3:16" x14ac:dyDescent="0.25">
      <c r="C2" s="5" t="s">
        <v>0</v>
      </c>
      <c r="D2" s="5"/>
      <c r="E2" s="5"/>
      <c r="G2" s="5" t="s">
        <v>7</v>
      </c>
      <c r="H2" s="5"/>
      <c r="I2" s="5"/>
      <c r="J2" s="5"/>
      <c r="K2" s="5"/>
    </row>
    <row r="3" spans="3:16" x14ac:dyDescent="0.25">
      <c r="C3" s="1" t="s">
        <v>1</v>
      </c>
      <c r="D3" s="1" t="s">
        <v>2</v>
      </c>
      <c r="E3" s="1" t="s">
        <v>3</v>
      </c>
      <c r="G3" s="1" t="s">
        <v>11</v>
      </c>
      <c r="H3" s="1" t="s">
        <v>10</v>
      </c>
      <c r="I3" s="1" t="s">
        <v>9</v>
      </c>
      <c r="J3" s="1" t="s">
        <v>8</v>
      </c>
      <c r="L3" t="s">
        <v>12</v>
      </c>
      <c r="M3" t="s">
        <v>13</v>
      </c>
      <c r="N3" t="s">
        <v>14</v>
      </c>
      <c r="O3" t="s">
        <v>15</v>
      </c>
    </row>
    <row r="4" spans="3:16" x14ac:dyDescent="0.25">
      <c r="C4" s="1">
        <v>50</v>
      </c>
      <c r="D4" s="1">
        <v>338684</v>
      </c>
      <c r="E4" s="1" t="s">
        <v>4</v>
      </c>
      <c r="G4" s="2">
        <v>0</v>
      </c>
      <c r="H4" s="2">
        <v>229.08</v>
      </c>
      <c r="I4" s="2">
        <f t="shared" ref="I4:I16" si="0">G4/$D$10</f>
        <v>0</v>
      </c>
      <c r="J4" s="2">
        <f t="shared" ref="J4:J16" si="1">H4/$D$11</f>
        <v>1</v>
      </c>
      <c r="L4">
        <v>0</v>
      </c>
      <c r="M4">
        <v>1</v>
      </c>
      <c r="N4">
        <v>1</v>
      </c>
      <c r="O4">
        <v>1</v>
      </c>
      <c r="P4">
        <f>(1-L4)^(1/1.694)</f>
        <v>1</v>
      </c>
    </row>
    <row r="5" spans="3:16" x14ac:dyDescent="0.25">
      <c r="C5" s="1">
        <v>25</v>
      </c>
      <c r="D5" s="1">
        <v>238724</v>
      </c>
      <c r="E5" s="1">
        <f>ABS((D5-D4)/D5)*100</f>
        <v>41.87262277776847</v>
      </c>
      <c r="G5" s="2">
        <v>39.244799999999998</v>
      </c>
      <c r="H5" s="2">
        <v>213.93700000000001</v>
      </c>
      <c r="I5" s="2">
        <f t="shared" si="0"/>
        <v>9.4262326582375766E-2</v>
      </c>
      <c r="J5" s="2">
        <f t="shared" si="1"/>
        <v>0.93389645538676447</v>
      </c>
      <c r="L5">
        <v>2.5000000000000001E-2</v>
      </c>
      <c r="M5">
        <v>0.97499999999999998</v>
      </c>
      <c r="N5">
        <v>0.983263106</v>
      </c>
      <c r="O5">
        <v>0.98742088299999997</v>
      </c>
      <c r="P5">
        <f t="shared" ref="P5:P44" si="2">(1-L5)^(1/1.694)</f>
        <v>0.98516555349136015</v>
      </c>
    </row>
    <row r="6" spans="3:16" x14ac:dyDescent="0.25">
      <c r="C6" s="1">
        <v>12.5</v>
      </c>
      <c r="D6" s="1">
        <v>220690</v>
      </c>
      <c r="E6" s="1">
        <f>ABS((D6-D5)/D6)*100</f>
        <v>8.1716434818070596</v>
      </c>
      <c r="G6" s="2">
        <v>81.399100000000004</v>
      </c>
      <c r="H6" s="2">
        <v>202.38200000000001</v>
      </c>
      <c r="I6" s="2">
        <f t="shared" si="0"/>
        <v>0.19551299911609854</v>
      </c>
      <c r="J6" s="2">
        <f t="shared" si="1"/>
        <v>0.8834555613759385</v>
      </c>
      <c r="L6">
        <v>0.05</v>
      </c>
      <c r="M6">
        <v>0.95</v>
      </c>
      <c r="N6">
        <v>0.96638252999999996</v>
      </c>
      <c r="O6">
        <v>0.97467943400000001</v>
      </c>
      <c r="P6">
        <f t="shared" si="2"/>
        <v>0.97017443421759397</v>
      </c>
    </row>
    <row r="7" spans="3:16" x14ac:dyDescent="0.25">
      <c r="C7" s="1">
        <v>10</v>
      </c>
      <c r="D7" s="1">
        <v>218713</v>
      </c>
      <c r="E7" s="1">
        <f>ABS((D7-D6)/D7)*100</f>
        <v>0.90392432091370889</v>
      </c>
      <c r="G7" s="2">
        <v>114.438</v>
      </c>
      <c r="H7" s="2">
        <v>189.232</v>
      </c>
      <c r="I7" s="3">
        <f t="shared" si="0"/>
        <v>0.27486933630529187</v>
      </c>
      <c r="J7" s="3">
        <f t="shared" si="1"/>
        <v>0.82605203422385187</v>
      </c>
      <c r="L7">
        <v>7.4999999999999997E-2</v>
      </c>
      <c r="M7">
        <v>0.92500000000000004</v>
      </c>
      <c r="N7">
        <v>0.94935320700000003</v>
      </c>
      <c r="O7">
        <v>0.96176920300000002</v>
      </c>
      <c r="P7">
        <f t="shared" si="2"/>
        <v>0.95502079732553424</v>
      </c>
    </row>
    <row r="8" spans="3:16" x14ac:dyDescent="0.25">
      <c r="C8" s="1">
        <v>5</v>
      </c>
      <c r="D8" s="1">
        <v>215489</v>
      </c>
      <c r="E8" s="1">
        <f>ABS((D8-D7)/D8)*100</f>
        <v>1.4961320531442441</v>
      </c>
      <c r="G8" s="2">
        <v>154.512</v>
      </c>
      <c r="H8" s="2">
        <v>172.53899999999999</v>
      </c>
      <c r="I8" s="3">
        <f t="shared" si="0"/>
        <v>0.37112332346950538</v>
      </c>
      <c r="J8" s="3">
        <f t="shared" si="1"/>
        <v>0.75318229439497109</v>
      </c>
      <c r="L8">
        <v>0.1</v>
      </c>
      <c r="M8">
        <v>0.9</v>
      </c>
      <c r="N8">
        <v>0.93216975199999996</v>
      </c>
      <c r="O8">
        <v>0.94868329799999995</v>
      </c>
      <c r="P8">
        <f t="shared" si="2"/>
        <v>0.93969841506410612</v>
      </c>
    </row>
    <row r="9" spans="3:16" x14ac:dyDescent="0.25">
      <c r="C9" s="1"/>
      <c r="D9" s="1"/>
      <c r="E9" s="1"/>
      <c r="G9" s="2">
        <v>193.90100000000001</v>
      </c>
      <c r="H9" s="2">
        <v>157.595</v>
      </c>
      <c r="I9" s="3">
        <f t="shared" si="0"/>
        <v>0.46573200491910383</v>
      </c>
      <c r="J9" s="3">
        <f t="shared" si="1"/>
        <v>0.68794744194167967</v>
      </c>
      <c r="L9">
        <v>0.125</v>
      </c>
      <c r="M9">
        <v>0.875</v>
      </c>
      <c r="N9">
        <v>0.91482642800000002</v>
      </c>
      <c r="O9">
        <v>0.93541434700000003</v>
      </c>
      <c r="P9">
        <f t="shared" si="2"/>
        <v>0.92420064029533966</v>
      </c>
    </row>
    <row r="10" spans="3:16" x14ac:dyDescent="0.25">
      <c r="C10" s="1" t="s">
        <v>5</v>
      </c>
      <c r="D10" s="1">
        <v>416.33600000000001</v>
      </c>
      <c r="E10" s="1"/>
      <c r="G10" s="2">
        <v>227.995</v>
      </c>
      <c r="H10" s="2">
        <v>143.64599999999999</v>
      </c>
      <c r="I10" s="3">
        <f t="shared" si="0"/>
        <v>0.54762259329003493</v>
      </c>
      <c r="J10" s="3">
        <f t="shared" si="1"/>
        <v>0.62705605028810885</v>
      </c>
      <c r="L10">
        <v>0.15</v>
      </c>
      <c r="M10">
        <v>0.85</v>
      </c>
      <c r="N10">
        <v>0.89731711300000006</v>
      </c>
      <c r="O10">
        <v>0.92195444599999998</v>
      </c>
      <c r="P10">
        <f t="shared" si="2"/>
        <v>0.90852036537845604</v>
      </c>
    </row>
    <row r="11" spans="3:16" x14ac:dyDescent="0.25">
      <c r="C11" s="1" t="s">
        <v>6</v>
      </c>
      <c r="D11" s="1">
        <v>229.08</v>
      </c>
      <c r="E11" s="1"/>
      <c r="G11" s="3">
        <v>268.50599999999997</v>
      </c>
      <c r="H11" s="2">
        <v>123.92700000000001</v>
      </c>
      <c r="I11" s="3">
        <f t="shared" si="0"/>
        <v>0.64492621344298828</v>
      </c>
      <c r="J11" s="3">
        <f t="shared" si="1"/>
        <v>0.5409769512833944</v>
      </c>
      <c r="L11">
        <v>0.17499999999999999</v>
      </c>
      <c r="M11">
        <v>0.82499999999999996</v>
      </c>
      <c r="N11">
        <v>0.87963526599999997</v>
      </c>
      <c r="O11">
        <v>0.90829510599999996</v>
      </c>
      <c r="P11">
        <f t="shared" si="2"/>
        <v>0.8926499756858729</v>
      </c>
    </row>
    <row r="12" spans="3:16" x14ac:dyDescent="0.25">
      <c r="E12" s="1"/>
      <c r="G12" s="2">
        <v>288.584</v>
      </c>
      <c r="H12" s="2">
        <v>116.407</v>
      </c>
      <c r="I12" s="3">
        <f t="shared" si="0"/>
        <v>0.6931516851773567</v>
      </c>
      <c r="J12" s="3">
        <f t="shared" si="1"/>
        <v>0.50814999126942551</v>
      </c>
      <c r="L12">
        <v>0.2</v>
      </c>
      <c r="M12">
        <v>0.8</v>
      </c>
      <c r="N12">
        <v>0.86177387599999999</v>
      </c>
      <c r="O12">
        <v>0.89442719100000001</v>
      </c>
      <c r="P12">
        <f t="shared" si="2"/>
        <v>0.87658129686499497</v>
      </c>
    </row>
    <row r="13" spans="3:16" x14ac:dyDescent="0.25">
      <c r="C13" s="4" t="s">
        <v>16</v>
      </c>
      <c r="D13" s="4">
        <f>4*0.43429</f>
        <v>1.73716</v>
      </c>
      <c r="E13" s="1"/>
      <c r="G13" s="2">
        <v>309.35000000000002</v>
      </c>
      <c r="H13" s="2">
        <v>103.682</v>
      </c>
      <c r="I13" s="3">
        <f t="shared" si="0"/>
        <v>0.74302966834479844</v>
      </c>
      <c r="J13" s="3">
        <f t="shared" si="1"/>
        <v>0.45260171119259646</v>
      </c>
      <c r="L13">
        <v>0.22500000000000001</v>
      </c>
      <c r="M13">
        <v>0.77500000000000002</v>
      </c>
      <c r="N13">
        <v>0.843725422</v>
      </c>
      <c r="O13">
        <v>0.88034084300000004</v>
      </c>
      <c r="P13">
        <f t="shared" si="2"/>
        <v>0.86030553478085958</v>
      </c>
    </row>
    <row r="14" spans="3:16" x14ac:dyDescent="0.25">
      <c r="C14" s="4" t="s">
        <v>17</v>
      </c>
      <c r="D14" s="4">
        <f>6*0.68</f>
        <v>4.08</v>
      </c>
      <c r="E14" s="1"/>
      <c r="G14" s="2">
        <v>332.233</v>
      </c>
      <c r="H14" s="2">
        <v>88.98</v>
      </c>
      <c r="I14" s="3">
        <f t="shared" si="0"/>
        <v>0.7979924868375543</v>
      </c>
      <c r="J14" s="3">
        <f t="shared" si="1"/>
        <v>0.38842325825039287</v>
      </c>
      <c r="L14">
        <v>0.25</v>
      </c>
      <c r="M14">
        <v>0.75</v>
      </c>
      <c r="N14">
        <v>0.82548181200000004</v>
      </c>
      <c r="O14">
        <v>0.86602540400000005</v>
      </c>
      <c r="P14">
        <f t="shared" si="2"/>
        <v>0.84381320685284888</v>
      </c>
    </row>
    <row r="15" spans="3:16" x14ac:dyDescent="0.25">
      <c r="C15" s="1"/>
      <c r="D15" s="1"/>
      <c r="E15" s="1"/>
      <c r="G15" s="2">
        <v>362.95</v>
      </c>
      <c r="H15" s="2">
        <v>68.680000000000007</v>
      </c>
      <c r="I15" s="3">
        <f t="shared" si="0"/>
        <v>0.87177183813074055</v>
      </c>
      <c r="J15" s="3">
        <f t="shared" si="1"/>
        <v>0.29980792736162043</v>
      </c>
      <c r="L15">
        <v>0.27500000000000002</v>
      </c>
      <c r="M15">
        <v>0.72499999999999998</v>
      </c>
      <c r="N15">
        <v>0.80703432100000005</v>
      </c>
      <c r="O15">
        <v>0.85146931800000003</v>
      </c>
      <c r="P15">
        <f t="shared" si="2"/>
        <v>0.82709406322157253</v>
      </c>
    </row>
    <row r="16" spans="3:16" x14ac:dyDescent="0.25">
      <c r="C16" s="1"/>
      <c r="D16" s="1"/>
      <c r="E16" s="1"/>
      <c r="G16" s="3">
        <v>385.8</v>
      </c>
      <c r="H16" s="3">
        <v>51.9</v>
      </c>
      <c r="I16" s="3">
        <f t="shared" si="0"/>
        <v>0.92665539372045658</v>
      </c>
      <c r="J16" s="3">
        <f t="shared" si="1"/>
        <v>0.22655840754321632</v>
      </c>
      <c r="L16">
        <v>0.3</v>
      </c>
      <c r="M16">
        <v>0.7</v>
      </c>
      <c r="N16">
        <v>0.78837351600000005</v>
      </c>
      <c r="O16">
        <v>0.83666002699999997</v>
      </c>
      <c r="P16">
        <f t="shared" si="2"/>
        <v>0.81013699583354748</v>
      </c>
    </row>
    <row r="17" spans="3:16" x14ac:dyDescent="0.25">
      <c r="C17" s="1"/>
      <c r="D17" s="1"/>
      <c r="E17" s="1"/>
      <c r="F17" s="4"/>
      <c r="G17" s="4">
        <v>399</v>
      </c>
      <c r="H17" s="4">
        <v>27.56</v>
      </c>
      <c r="I17" s="4">
        <f>G17/$D$10</f>
        <v>0.95836055493639749</v>
      </c>
      <c r="J17" s="4">
        <f>H17/$D$11</f>
        <v>0.12030731622140736</v>
      </c>
      <c r="K17" s="4"/>
      <c r="L17">
        <v>0.32500000000000001</v>
      </c>
      <c r="M17">
        <v>0.67500000000000004</v>
      </c>
      <c r="N17">
        <v>0.769489176</v>
      </c>
      <c r="O17">
        <v>0.82158383599999996</v>
      </c>
      <c r="P17">
        <f t="shared" si="2"/>
        <v>0.79292993308978288</v>
      </c>
    </row>
    <row r="18" spans="3:16" x14ac:dyDescent="0.25">
      <c r="C18" s="1"/>
      <c r="D18" s="1"/>
      <c r="E18" s="1"/>
      <c r="F18" s="4"/>
      <c r="G18" s="4">
        <v>416.33600000000001</v>
      </c>
      <c r="H18" s="2">
        <v>0</v>
      </c>
      <c r="I18" s="4">
        <f>G18/$D$10</f>
        <v>1</v>
      </c>
      <c r="J18" s="4">
        <f>H18/$D$11</f>
        <v>0</v>
      </c>
      <c r="K18" s="4"/>
      <c r="L18">
        <v>0.35</v>
      </c>
      <c r="M18">
        <v>0.65</v>
      </c>
      <c r="N18">
        <v>0.75037018799999999</v>
      </c>
      <c r="O18">
        <v>0.80622577500000003</v>
      </c>
      <c r="P18">
        <f t="shared" si="2"/>
        <v>0.77545971714061912</v>
      </c>
    </row>
    <row r="19" spans="3:16" x14ac:dyDescent="0.25">
      <c r="C19" s="1"/>
      <c r="D19" s="1"/>
      <c r="E19" s="1"/>
      <c r="F19" s="4"/>
      <c r="G19" s="4"/>
      <c r="H19" s="4"/>
      <c r="I19" s="4"/>
      <c r="J19" s="4"/>
      <c r="K19" s="4"/>
      <c r="L19">
        <v>0.375</v>
      </c>
      <c r="M19">
        <v>0.625</v>
      </c>
      <c r="N19">
        <v>0.73100443500000001</v>
      </c>
      <c r="O19">
        <v>0.790569415</v>
      </c>
      <c r="P19">
        <f t="shared" si="2"/>
        <v>0.75771196018321973</v>
      </c>
    </row>
    <row r="20" spans="3:16" x14ac:dyDescent="0.25">
      <c r="C20" s="1"/>
      <c r="D20" s="1"/>
      <c r="E20" s="1"/>
      <c r="F20" s="4"/>
      <c r="G20" s="4"/>
      <c r="H20" s="4"/>
      <c r="I20" s="4"/>
      <c r="J20" s="4"/>
      <c r="K20" s="4"/>
      <c r="L20">
        <v>0.4</v>
      </c>
      <c r="M20">
        <v>0.6</v>
      </c>
      <c r="N20">
        <v>0.71137866100000002</v>
      </c>
      <c r="O20">
        <v>0.77459666900000002</v>
      </c>
      <c r="P20">
        <f t="shared" si="2"/>
        <v>0.73967087517488039</v>
      </c>
    </row>
    <row r="21" spans="3:16" x14ac:dyDescent="0.25">
      <c r="C21" s="1"/>
      <c r="D21" s="1"/>
      <c r="E21" s="1"/>
      <c r="G21" s="2"/>
      <c r="H21" s="2"/>
      <c r="I21" s="4"/>
      <c r="J21" s="4"/>
      <c r="L21">
        <v>0.42499999999999999</v>
      </c>
      <c r="M21">
        <v>0.57499999999999996</v>
      </c>
      <c r="N21">
        <v>0.69147831199999998</v>
      </c>
      <c r="O21">
        <v>0.75828754399999998</v>
      </c>
      <c r="P21">
        <f t="shared" si="2"/>
        <v>0.72131907513787119</v>
      </c>
    </row>
    <row r="22" spans="3:16" x14ac:dyDescent="0.25">
      <c r="C22" s="1"/>
      <c r="D22" s="1"/>
      <c r="E22" s="1"/>
      <c r="G22" s="2"/>
      <c r="H22" s="2"/>
      <c r="I22" s="4"/>
      <c r="J22" s="4"/>
      <c r="L22">
        <v>0.45</v>
      </c>
      <c r="M22">
        <v>0.55000000000000004</v>
      </c>
      <c r="N22">
        <v>0.67128734400000001</v>
      </c>
      <c r="O22">
        <v>0.741619849</v>
      </c>
      <c r="P22">
        <f t="shared" si="2"/>
        <v>0.70263733359107783</v>
      </c>
    </row>
    <row r="23" spans="3:16" x14ac:dyDescent="0.25">
      <c r="C23" s="1"/>
      <c r="D23" s="1"/>
      <c r="E23" s="1"/>
      <c r="G23" s="2"/>
      <c r="H23" s="2"/>
      <c r="I23" s="4"/>
      <c r="J23" s="4"/>
      <c r="L23">
        <v>0.47499999999999998</v>
      </c>
      <c r="M23">
        <v>0.52500000000000002</v>
      </c>
      <c r="N23">
        <v>0.65078799899999995</v>
      </c>
      <c r="O23">
        <v>0.72456883699999997</v>
      </c>
      <c r="P23">
        <f t="shared" si="2"/>
        <v>0.68360429644443876</v>
      </c>
    </row>
    <row r="24" spans="3:16" x14ac:dyDescent="0.25">
      <c r="C24" s="1"/>
      <c r="D24" s="1"/>
      <c r="E24" s="1"/>
      <c r="G24" s="1"/>
      <c r="H24" s="1"/>
      <c r="I24" s="4"/>
      <c r="J24" s="4"/>
      <c r="L24">
        <v>0.5</v>
      </c>
      <c r="M24">
        <v>0.5</v>
      </c>
      <c r="N24">
        <v>0.62996052499999999</v>
      </c>
      <c r="O24">
        <v>0.70710678100000002</v>
      </c>
      <c r="P24">
        <f t="shared" si="2"/>
        <v>0.66419613270752409</v>
      </c>
    </row>
    <row r="25" spans="3:16" x14ac:dyDescent="0.25">
      <c r="C25" s="1"/>
      <c r="D25" s="1"/>
      <c r="E25" s="1"/>
      <c r="G25" s="1"/>
      <c r="H25" s="1"/>
      <c r="I25" s="4"/>
      <c r="J25" s="4"/>
      <c r="L25">
        <v>0.52500000000000002</v>
      </c>
      <c r="M25">
        <v>0.47499999999999998</v>
      </c>
      <c r="N25">
        <v>0.60878284599999999</v>
      </c>
      <c r="O25">
        <v>0.68920243800000003</v>
      </c>
      <c r="P25">
        <f t="shared" si="2"/>
        <v>0.64438610725903611</v>
      </c>
    </row>
    <row r="26" spans="3:16" x14ac:dyDescent="0.25">
      <c r="C26" s="1"/>
      <c r="D26" s="1"/>
      <c r="E26" s="1"/>
      <c r="G26" s="1"/>
      <c r="H26" s="1"/>
      <c r="I26" s="4"/>
      <c r="J26" s="4"/>
      <c r="L26">
        <v>0.55000000000000004</v>
      </c>
      <c r="M26">
        <v>0.45</v>
      </c>
      <c r="N26">
        <v>0.58723014600000001</v>
      </c>
      <c r="O26">
        <v>0.67082039299999996</v>
      </c>
      <c r="P26">
        <f t="shared" si="2"/>
        <v>0.62414405319696908</v>
      </c>
    </row>
    <row r="27" spans="3:16" x14ac:dyDescent="0.25">
      <c r="C27" s="1"/>
      <c r="D27" s="1"/>
      <c r="E27" s="1"/>
      <c r="G27" s="1"/>
      <c r="H27" s="1"/>
      <c r="I27" s="4"/>
      <c r="J27" s="4"/>
      <c r="L27">
        <v>0.57499999999999996</v>
      </c>
      <c r="M27">
        <v>0.42499999999999999</v>
      </c>
      <c r="N27">
        <v>0.56527435999999998</v>
      </c>
      <c r="O27">
        <v>0.65192024100000001</v>
      </c>
      <c r="P27">
        <f t="shared" si="2"/>
        <v>0.60343571317039735</v>
      </c>
    </row>
    <row r="28" spans="3:16" x14ac:dyDescent="0.25">
      <c r="G28" s="1"/>
      <c r="H28" s="1"/>
      <c r="I28" s="4"/>
      <c r="J28" s="4"/>
      <c r="L28">
        <v>0.6</v>
      </c>
      <c r="M28">
        <v>0.4</v>
      </c>
      <c r="N28">
        <v>0.54288352299999998</v>
      </c>
      <c r="O28">
        <v>0.63245553200000004</v>
      </c>
      <c r="P28">
        <f t="shared" si="2"/>
        <v>0.58222190738147572</v>
      </c>
    </row>
    <row r="29" spans="3:16" x14ac:dyDescent="0.25">
      <c r="G29" s="1"/>
      <c r="H29" s="1"/>
      <c r="I29" s="4"/>
      <c r="J29" s="4"/>
      <c r="L29">
        <v>0.625</v>
      </c>
      <c r="M29">
        <v>0.375</v>
      </c>
      <c r="N29">
        <v>0.52002095599999998</v>
      </c>
      <c r="O29">
        <v>0.61237243600000002</v>
      </c>
      <c r="P29">
        <f t="shared" si="2"/>
        <v>0.56045746871919622</v>
      </c>
    </row>
    <row r="30" spans="3:16" x14ac:dyDescent="0.25">
      <c r="G30" s="1"/>
      <c r="H30" s="1"/>
      <c r="I30" s="4"/>
      <c r="J30" s="4"/>
      <c r="L30">
        <v>0.65</v>
      </c>
      <c r="M30">
        <v>0.35</v>
      </c>
      <c r="N30">
        <v>0.49664419399999998</v>
      </c>
      <c r="O30">
        <v>0.59160797799999998</v>
      </c>
      <c r="P30">
        <f t="shared" si="2"/>
        <v>0.53808985959593381</v>
      </c>
    </row>
    <row r="31" spans="3:16" x14ac:dyDescent="0.25">
      <c r="G31" s="1"/>
      <c r="H31" s="1"/>
      <c r="I31" s="4"/>
      <c r="J31" s="4"/>
      <c r="L31">
        <v>0.67500000000000004</v>
      </c>
      <c r="M31">
        <v>0.32500000000000001</v>
      </c>
      <c r="N31">
        <v>0.47270359699999998</v>
      </c>
      <c r="O31">
        <v>0.57008771300000005</v>
      </c>
      <c r="P31">
        <f t="shared" si="2"/>
        <v>0.51505734519526969</v>
      </c>
    </row>
    <row r="32" spans="3:16" x14ac:dyDescent="0.25">
      <c r="G32" s="1"/>
      <c r="H32" s="1"/>
      <c r="I32" s="4"/>
      <c r="J32" s="4"/>
      <c r="L32">
        <v>0.7</v>
      </c>
      <c r="M32">
        <v>0.3</v>
      </c>
      <c r="N32">
        <v>0.44814047499999998</v>
      </c>
      <c r="O32">
        <v>0.54772255800000003</v>
      </c>
      <c r="P32">
        <f t="shared" si="2"/>
        <v>0.49128653476754541</v>
      </c>
    </row>
    <row r="33" spans="7:16" x14ac:dyDescent="0.25">
      <c r="G33" s="1"/>
      <c r="H33" s="1"/>
      <c r="I33" s="4"/>
      <c r="J33" s="4"/>
      <c r="L33">
        <v>0.72499999999999998</v>
      </c>
      <c r="M33">
        <v>0.27500000000000002</v>
      </c>
      <c r="N33">
        <v>0.42288452799999998</v>
      </c>
      <c r="O33">
        <v>0.52440442399999998</v>
      </c>
      <c r="P33">
        <f t="shared" si="2"/>
        <v>0.46668899966712046</v>
      </c>
    </row>
    <row r="34" spans="7:16" x14ac:dyDescent="0.25">
      <c r="G34" s="1"/>
      <c r="H34" s="1"/>
      <c r="I34" s="4"/>
      <c r="J34" s="4"/>
      <c r="L34">
        <v>0.75</v>
      </c>
      <c r="M34">
        <v>0.25</v>
      </c>
      <c r="N34">
        <v>0.39685026299999998</v>
      </c>
      <c r="O34">
        <v>0.5</v>
      </c>
      <c r="P34">
        <f t="shared" si="2"/>
        <v>0.44115650270363099</v>
      </c>
    </row>
    <row r="35" spans="7:16" x14ac:dyDescent="0.25">
      <c r="G35" s="1"/>
      <c r="H35" s="1"/>
      <c r="I35" s="4"/>
      <c r="J35" s="4"/>
      <c r="L35">
        <v>0.77500000000000002</v>
      </c>
      <c r="M35">
        <v>0.22500000000000001</v>
      </c>
      <c r="N35">
        <v>0.369931811</v>
      </c>
      <c r="O35">
        <v>0.47434164899999998</v>
      </c>
      <c r="P35">
        <f t="shared" si="2"/>
        <v>0.41455406638582609</v>
      </c>
    </row>
    <row r="36" spans="7:16" x14ac:dyDescent="0.25">
      <c r="G36" s="1"/>
      <c r="H36" s="1"/>
      <c r="I36" s="4"/>
      <c r="J36" s="4"/>
      <c r="L36">
        <v>0.8</v>
      </c>
      <c r="M36">
        <v>0.2</v>
      </c>
      <c r="N36">
        <v>0.34199518899999998</v>
      </c>
      <c r="O36">
        <v>0.44721359500000002</v>
      </c>
      <c r="P36">
        <f t="shared" si="2"/>
        <v>0.38670953926037444</v>
      </c>
    </row>
    <row r="37" spans="7:16" x14ac:dyDescent="0.25">
      <c r="G37" s="1"/>
      <c r="H37" s="1"/>
      <c r="I37" s="4"/>
      <c r="J37" s="4"/>
      <c r="L37">
        <v>0.82499999999999996</v>
      </c>
      <c r="M37">
        <v>0.17499999999999999</v>
      </c>
      <c r="N37">
        <v>0.31286623699999999</v>
      </c>
      <c r="O37">
        <v>0.418330013</v>
      </c>
      <c r="P37">
        <f t="shared" si="2"/>
        <v>0.35739720379275391</v>
      </c>
    </row>
    <row r="38" spans="7:16" x14ac:dyDescent="0.25">
      <c r="G38" s="1"/>
      <c r="H38" s="1"/>
      <c r="I38" s="4"/>
      <c r="J38" s="4"/>
      <c r="L38">
        <v>0.85</v>
      </c>
      <c r="M38">
        <v>0.15</v>
      </c>
      <c r="N38">
        <v>0.282310809</v>
      </c>
      <c r="O38">
        <v>0.38729833499999999</v>
      </c>
      <c r="P38">
        <f t="shared" si="2"/>
        <v>0.32631061644388432</v>
      </c>
    </row>
    <row r="39" spans="7:16" x14ac:dyDescent="0.25">
      <c r="I39" s="4"/>
      <c r="J39" s="4"/>
      <c r="L39">
        <v>0.875</v>
      </c>
      <c r="M39">
        <v>0.125</v>
      </c>
      <c r="N39">
        <v>0.25</v>
      </c>
      <c r="O39">
        <v>0.35355339099999999</v>
      </c>
      <c r="P39">
        <f t="shared" si="2"/>
        <v>0.29301444301452811</v>
      </c>
    </row>
    <row r="40" spans="7:16" x14ac:dyDescent="0.25">
      <c r="I40" s="4"/>
      <c r="J40" s="4"/>
      <c r="L40">
        <v>0.9</v>
      </c>
      <c r="M40">
        <v>0.1</v>
      </c>
      <c r="N40">
        <v>0.215443469</v>
      </c>
      <c r="O40">
        <v>0.31622776600000002</v>
      </c>
      <c r="P40">
        <f t="shared" si="2"/>
        <v>0.25685098045784915</v>
      </c>
    </row>
    <row r="41" spans="7:16" x14ac:dyDescent="0.25">
      <c r="I41" s="4"/>
      <c r="J41" s="4"/>
      <c r="L41">
        <v>0.92500000000000004</v>
      </c>
      <c r="M41">
        <v>7.4999999999999997E-2</v>
      </c>
      <c r="N41">
        <v>0.17784466500000001</v>
      </c>
      <c r="O41">
        <v>0.27386127900000001</v>
      </c>
      <c r="P41">
        <f t="shared" si="2"/>
        <v>0.21673424950343609</v>
      </c>
    </row>
    <row r="42" spans="7:16" x14ac:dyDescent="0.25">
      <c r="I42" s="4"/>
      <c r="J42" s="4"/>
      <c r="L42">
        <v>0.95</v>
      </c>
      <c r="M42">
        <v>0.05</v>
      </c>
      <c r="N42">
        <v>0.13572088099999999</v>
      </c>
      <c r="O42">
        <v>0.223606798</v>
      </c>
      <c r="P42">
        <f t="shared" si="2"/>
        <v>0.17059942790223939</v>
      </c>
    </row>
    <row r="43" spans="7:16" x14ac:dyDescent="0.25">
      <c r="I43" s="4"/>
      <c r="J43" s="4"/>
      <c r="L43">
        <v>0.97499999999999998</v>
      </c>
      <c r="M43">
        <v>2.5000000000000001E-2</v>
      </c>
      <c r="N43">
        <v>8.5498797000000001E-2</v>
      </c>
      <c r="O43">
        <v>0.15811388300000001</v>
      </c>
      <c r="P43">
        <f t="shared" si="2"/>
        <v>0.11331148025478345</v>
      </c>
    </row>
    <row r="44" spans="7:16" x14ac:dyDescent="0.25">
      <c r="I44" s="4"/>
      <c r="J44" s="4"/>
      <c r="L44">
        <v>1</v>
      </c>
      <c r="M44">
        <v>0</v>
      </c>
      <c r="N44">
        <v>0</v>
      </c>
      <c r="O44">
        <v>0</v>
      </c>
      <c r="P44">
        <f t="shared" si="2"/>
        <v>0</v>
      </c>
    </row>
  </sheetData>
  <mergeCells count="2">
    <mergeCell ref="C2:E2"/>
    <mergeCell ref="G2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Rigatos</dc:creator>
  <cp:lastModifiedBy>Nikos Rigatos</cp:lastModifiedBy>
  <dcterms:created xsi:type="dcterms:W3CDTF">2015-06-05T18:19:34Z</dcterms:created>
  <dcterms:modified xsi:type="dcterms:W3CDTF">2022-06-20T17:53:24Z</dcterms:modified>
</cp:coreProperties>
</file>