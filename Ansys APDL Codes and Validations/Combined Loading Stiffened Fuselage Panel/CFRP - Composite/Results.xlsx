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3. Αριθμητικά Μοντέλα\Συνδυαστική Φόρτιση Ενισχυμένου Κελύφους\Σύνθετο\"/>
    </mc:Choice>
  </mc:AlternateContent>
  <xr:revisionPtr revIDLastSave="0" documentId="13_ncr:1_{C7E8FCAB-AE59-4070-9387-0BD42EE1A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J7" i="1"/>
  <c r="I7" i="1"/>
  <c r="I6" i="1" l="1"/>
  <c r="I8" i="1"/>
  <c r="I9" i="1"/>
  <c r="I10" i="1"/>
  <c r="I11" i="1"/>
  <c r="I12" i="1"/>
  <c r="I13" i="1"/>
  <c r="I14" i="1"/>
  <c r="J6" i="1"/>
  <c r="J8" i="1"/>
  <c r="J9" i="1"/>
  <c r="J10" i="1"/>
  <c r="J11" i="1"/>
  <c r="J12" i="1"/>
  <c r="J13" i="1"/>
  <c r="J14" i="1"/>
  <c r="J15" i="1"/>
  <c r="J5" i="1"/>
  <c r="I5" i="1"/>
  <c r="H4" i="1"/>
  <c r="G15" i="1"/>
  <c r="I15" i="1" s="1"/>
  <c r="I4" i="1"/>
  <c r="E8" i="1"/>
  <c r="E7" i="1"/>
  <c r="E6" i="1"/>
  <c r="E5" i="1"/>
  <c r="J4" i="1" l="1"/>
</calcChain>
</file>

<file path=xl/sharedStrings.xml><?xml version="1.0" encoding="utf-8"?>
<sst xmlns="http://schemas.openxmlformats.org/spreadsheetml/2006/main" count="17" uniqueCount="16">
  <si>
    <t>Mesh Check</t>
  </si>
  <si>
    <t xml:space="preserve">ESIZE </t>
  </si>
  <si>
    <t>Pcr</t>
  </si>
  <si>
    <t>δ</t>
  </si>
  <si>
    <t>-</t>
  </si>
  <si>
    <t>Pcr, Compression</t>
  </si>
  <si>
    <t>Pcr, Shear</t>
  </si>
  <si>
    <t>Combined Loading Law</t>
  </si>
  <si>
    <t>Rs</t>
  </si>
  <si>
    <t>Rc</t>
  </si>
  <si>
    <t>Ns</t>
  </si>
  <si>
    <t>Nc</t>
  </si>
  <si>
    <t>R_c</t>
  </si>
  <si>
    <t>Ucr,Shear</t>
  </si>
  <si>
    <t>Ucr,Compression</t>
  </si>
  <si>
    <t>Rs (n=1.529)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</si>
</sst>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Load Interaction Curve - Orthotropic Stiffened Panel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36819648746103E-2"/>
          <c:y val="9.2972483294718467E-2"/>
          <c:w val="0.88220091616865881"/>
          <c:h val="0.73113350878054184"/>
        </c:manualLayout>
      </c:layout>
      <c:scatterChart>
        <c:scatterStyle val="smoothMarker"/>
        <c:varyColors val="0"/>
        <c:ser>
          <c:idx val="1"/>
          <c:order val="1"/>
          <c:tx>
            <c:v>Rc + Rs^1.529 =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Φύλλο1!$M$4:$M$44</c:f>
              <c:numCache>
                <c:formatCode>General</c:formatCode>
                <c:ptCount val="41"/>
                <c:pt idx="0">
                  <c:v>1</c:v>
                </c:pt>
                <c:pt idx="1">
                  <c:v>0.98357792750870465</c:v>
                </c:pt>
                <c:pt idx="2">
                  <c:v>0.96700950411231934</c:v>
                </c:pt>
                <c:pt idx="3">
                  <c:v>0.95028952112998699</c:v>
                </c:pt>
                <c:pt idx="4">
                  <c:v>0.93341243796467144</c:v>
                </c:pt>
                <c:pt idx="5">
                  <c:v>0.91637235109079973</c:v>
                </c:pt>
                <c:pt idx="6">
                  <c:v>0.89916295916972744</c:v>
                </c:pt>
                <c:pt idx="7">
                  <c:v>0.88177752368064177</c:v>
                </c:pt>
                <c:pt idx="8">
                  <c:v>0.86420882433602686</c:v>
                </c:pt>
                <c:pt idx="9">
                  <c:v>0.84644910840495358</c:v>
                </c:pt>
                <c:pt idx="10">
                  <c:v>0.82849003288680168</c:v>
                </c:pt>
                <c:pt idx="11">
                  <c:v>0.81032259825281372</c:v>
                </c:pt>
                <c:pt idx="12">
                  <c:v>0.7919370721902208</c:v>
                </c:pt>
                <c:pt idx="13">
                  <c:v>0.77332290142630045</c:v>
                </c:pt>
                <c:pt idx="14">
                  <c:v>0.75446860925434223</c:v>
                </c:pt>
                <c:pt idx="15">
                  <c:v>0.73536167579840306</c:v>
                </c:pt>
                <c:pt idx="16">
                  <c:v>0.71598839729521913</c:v>
                </c:pt>
                <c:pt idx="17">
                  <c:v>0.69633371967887125</c:v>
                </c:pt>
                <c:pt idx="18">
                  <c:v>0.67638104044093039</c:v>
                </c:pt>
                <c:pt idx="19">
                  <c:v>0.65611197098315355</c:v>
                </c:pt>
                <c:pt idx="20">
                  <c:v>0.63550604930350851</c:v>
                </c:pt>
                <c:pt idx="21">
                  <c:v>0.6145403895973649</c:v>
                </c:pt>
                <c:pt idx="22">
                  <c:v>0.59318925082168439</c:v>
                </c:pt>
                <c:pt idx="23">
                  <c:v>0.57142349986200547</c:v>
                </c:pt>
                <c:pt idx="24">
                  <c:v>0.54920993572701815</c:v>
                </c:pt>
                <c:pt idx="25">
                  <c:v>0.52651042768722511</c:v>
                </c:pt>
                <c:pt idx="26">
                  <c:v>0.50328080004459463</c:v>
                </c:pt>
                <c:pt idx="27">
                  <c:v>0.4794693651907394</c:v>
                </c:pt>
                <c:pt idx="28">
                  <c:v>0.45501495771223555</c:v>
                </c:pt>
                <c:pt idx="29">
                  <c:v>0.4298442428344123</c:v>
                </c:pt>
                <c:pt idx="30">
                  <c:v>0.40386793870135335</c:v>
                </c:pt>
                <c:pt idx="31">
                  <c:v>0.37697535727899673</c:v>
                </c:pt>
                <c:pt idx="32">
                  <c:v>0.34902623649211106</c:v>
                </c:pt>
                <c:pt idx="33">
                  <c:v>0.31983799292664938</c:v>
                </c:pt>
                <c:pt idx="34">
                  <c:v>0.28916475814970577</c:v>
                </c:pt>
                <c:pt idx="35">
                  <c:v>0.25666051816444863</c:v>
                </c:pt>
                <c:pt idx="36">
                  <c:v>0.22180828465637351</c:v>
                </c:pt>
                <c:pt idx="37">
                  <c:v>0.18376595304952395</c:v>
                </c:pt>
                <c:pt idx="38">
                  <c:v>0.14096050668476007</c:v>
                </c:pt>
                <c:pt idx="39">
                  <c:v>8.958125471105266E-2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84-402C-9B3F-B0F48F08D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85440"/>
        <c:axId val="919942480"/>
        <c:extLst/>
      </c:scatterChart>
      <c:scatterChart>
        <c:scatterStyle val="lineMarker"/>
        <c:varyColors val="0"/>
        <c:ser>
          <c:idx val="0"/>
          <c:order val="0"/>
          <c:tx>
            <c:v>Numerical Model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Φύλλο1!$I$4:$I$15</c:f>
              <c:numCache>
                <c:formatCode>General</c:formatCode>
                <c:ptCount val="12"/>
                <c:pt idx="0">
                  <c:v>0</c:v>
                </c:pt>
                <c:pt idx="1">
                  <c:v>9.8332713524234533E-2</c:v>
                </c:pt>
                <c:pt idx="2">
                  <c:v>0.21058014131647454</c:v>
                </c:pt>
                <c:pt idx="3">
                  <c:v>0.24931820999132268</c:v>
                </c:pt>
                <c:pt idx="4">
                  <c:v>0.29347960828064956</c:v>
                </c:pt>
                <c:pt idx="5">
                  <c:v>0.39175653898599233</c:v>
                </c:pt>
                <c:pt idx="6">
                  <c:v>0.49466964175034089</c:v>
                </c:pt>
                <c:pt idx="7">
                  <c:v>0.6542085037808355</c:v>
                </c:pt>
                <c:pt idx="8">
                  <c:v>0.82651543324655996</c:v>
                </c:pt>
                <c:pt idx="9">
                  <c:v>0.92655262179248798</c:v>
                </c:pt>
                <c:pt idx="10">
                  <c:v>0.97657121606545183</c:v>
                </c:pt>
                <c:pt idx="11">
                  <c:v>1</c:v>
                </c:pt>
              </c:numCache>
            </c:numRef>
          </c:xVal>
          <c:yVal>
            <c:numRef>
              <c:f>Φύλλο1!$J$4:$J$15</c:f>
              <c:numCache>
                <c:formatCode>General</c:formatCode>
                <c:ptCount val="12"/>
                <c:pt idx="0">
                  <c:v>1</c:v>
                </c:pt>
                <c:pt idx="1">
                  <c:v>0.92843295638126011</c:v>
                </c:pt>
                <c:pt idx="2">
                  <c:v>0.85607923017489629</c:v>
                </c:pt>
                <c:pt idx="3">
                  <c:v>0.82729507620987563</c:v>
                </c:pt>
                <c:pt idx="4">
                  <c:v>0.78754653367984828</c:v>
                </c:pt>
                <c:pt idx="5">
                  <c:v>0.71810072346702258</c:v>
                </c:pt>
                <c:pt idx="6">
                  <c:v>0.63917960244433514</c:v>
                </c:pt>
                <c:pt idx="7">
                  <c:v>0.50712931095034064</c:v>
                </c:pt>
                <c:pt idx="8">
                  <c:v>0.32303153754302172</c:v>
                </c:pt>
                <c:pt idx="9">
                  <c:v>0.19624920980543653</c:v>
                </c:pt>
                <c:pt idx="10">
                  <c:v>9.8124604902718265E-2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0-4F5D-A253-96A440A22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85440"/>
        <c:axId val="919942480"/>
      </c:scatterChart>
      <c:valAx>
        <c:axId val="8639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42480"/>
        <c:crosses val="autoZero"/>
        <c:crossBetween val="midCat"/>
      </c:valAx>
      <c:valAx>
        <c:axId val="9199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8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800" b="0" i="0" baseline="0">
                <a:effectLst/>
              </a:rPr>
              <a:t>Καμπύλη αλληλεπίδρασης φορτίων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36819648746103E-2"/>
          <c:y val="9.2972483294718467E-2"/>
          <c:w val="0.88220091616865881"/>
          <c:h val="0.73113350878054184"/>
        </c:manualLayout>
      </c:layout>
      <c:scatterChart>
        <c:scatterStyle val="smoothMarker"/>
        <c:varyColors val="0"/>
        <c:ser>
          <c:idx val="1"/>
          <c:order val="1"/>
          <c:tx>
            <c:v>Rc + Rs^1.529 =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Φύλλο1!$M$4:$M$44</c:f>
              <c:numCache>
                <c:formatCode>General</c:formatCode>
                <c:ptCount val="41"/>
                <c:pt idx="0">
                  <c:v>1</c:v>
                </c:pt>
                <c:pt idx="1">
                  <c:v>0.98357792750870465</c:v>
                </c:pt>
                <c:pt idx="2">
                  <c:v>0.96700950411231934</c:v>
                </c:pt>
                <c:pt idx="3">
                  <c:v>0.95028952112998699</c:v>
                </c:pt>
                <c:pt idx="4">
                  <c:v>0.93341243796467144</c:v>
                </c:pt>
                <c:pt idx="5">
                  <c:v>0.91637235109079973</c:v>
                </c:pt>
                <c:pt idx="6">
                  <c:v>0.89916295916972744</c:v>
                </c:pt>
                <c:pt idx="7">
                  <c:v>0.88177752368064177</c:v>
                </c:pt>
                <c:pt idx="8">
                  <c:v>0.86420882433602686</c:v>
                </c:pt>
                <c:pt idx="9">
                  <c:v>0.84644910840495358</c:v>
                </c:pt>
                <c:pt idx="10">
                  <c:v>0.82849003288680168</c:v>
                </c:pt>
                <c:pt idx="11">
                  <c:v>0.81032259825281372</c:v>
                </c:pt>
                <c:pt idx="12">
                  <c:v>0.7919370721902208</c:v>
                </c:pt>
                <c:pt idx="13">
                  <c:v>0.77332290142630045</c:v>
                </c:pt>
                <c:pt idx="14">
                  <c:v>0.75446860925434223</c:v>
                </c:pt>
                <c:pt idx="15">
                  <c:v>0.73536167579840306</c:v>
                </c:pt>
                <c:pt idx="16">
                  <c:v>0.71598839729521913</c:v>
                </c:pt>
                <c:pt idx="17">
                  <c:v>0.69633371967887125</c:v>
                </c:pt>
                <c:pt idx="18">
                  <c:v>0.67638104044093039</c:v>
                </c:pt>
                <c:pt idx="19">
                  <c:v>0.65611197098315355</c:v>
                </c:pt>
                <c:pt idx="20">
                  <c:v>0.63550604930350851</c:v>
                </c:pt>
                <c:pt idx="21">
                  <c:v>0.6145403895973649</c:v>
                </c:pt>
                <c:pt idx="22">
                  <c:v>0.59318925082168439</c:v>
                </c:pt>
                <c:pt idx="23">
                  <c:v>0.57142349986200547</c:v>
                </c:pt>
                <c:pt idx="24">
                  <c:v>0.54920993572701815</c:v>
                </c:pt>
                <c:pt idx="25">
                  <c:v>0.52651042768722511</c:v>
                </c:pt>
                <c:pt idx="26">
                  <c:v>0.50328080004459463</c:v>
                </c:pt>
                <c:pt idx="27">
                  <c:v>0.4794693651907394</c:v>
                </c:pt>
                <c:pt idx="28">
                  <c:v>0.45501495771223555</c:v>
                </c:pt>
                <c:pt idx="29">
                  <c:v>0.4298442428344123</c:v>
                </c:pt>
                <c:pt idx="30">
                  <c:v>0.40386793870135335</c:v>
                </c:pt>
                <c:pt idx="31">
                  <c:v>0.37697535727899673</c:v>
                </c:pt>
                <c:pt idx="32">
                  <c:v>0.34902623649211106</c:v>
                </c:pt>
                <c:pt idx="33">
                  <c:v>0.31983799292664938</c:v>
                </c:pt>
                <c:pt idx="34">
                  <c:v>0.28916475814970577</c:v>
                </c:pt>
                <c:pt idx="35">
                  <c:v>0.25666051816444863</c:v>
                </c:pt>
                <c:pt idx="36">
                  <c:v>0.22180828465637351</c:v>
                </c:pt>
                <c:pt idx="37">
                  <c:v>0.18376595304952395</c:v>
                </c:pt>
                <c:pt idx="38">
                  <c:v>0.14096050668476007</c:v>
                </c:pt>
                <c:pt idx="39">
                  <c:v>8.958125471105266E-2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C9-4E9B-904D-52AFB436E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85440"/>
        <c:axId val="919942480"/>
        <c:extLst/>
      </c:scatterChart>
      <c:scatterChart>
        <c:scatterStyle val="lineMarker"/>
        <c:varyColors val="0"/>
        <c:ser>
          <c:idx val="0"/>
          <c:order val="0"/>
          <c:tx>
            <c:v>Αριθμητικό Μοντέλο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Φύλλο1!$I$4:$I$15</c:f>
              <c:numCache>
                <c:formatCode>General</c:formatCode>
                <c:ptCount val="12"/>
                <c:pt idx="0">
                  <c:v>0</c:v>
                </c:pt>
                <c:pt idx="1">
                  <c:v>9.8332713524234533E-2</c:v>
                </c:pt>
                <c:pt idx="2">
                  <c:v>0.21058014131647454</c:v>
                </c:pt>
                <c:pt idx="3">
                  <c:v>0.24931820999132268</c:v>
                </c:pt>
                <c:pt idx="4">
                  <c:v>0.29347960828064956</c:v>
                </c:pt>
                <c:pt idx="5">
                  <c:v>0.39175653898599233</c:v>
                </c:pt>
                <c:pt idx="6">
                  <c:v>0.49466964175034089</c:v>
                </c:pt>
                <c:pt idx="7">
                  <c:v>0.6542085037808355</c:v>
                </c:pt>
                <c:pt idx="8">
                  <c:v>0.82651543324655996</c:v>
                </c:pt>
                <c:pt idx="9">
                  <c:v>0.92655262179248798</c:v>
                </c:pt>
                <c:pt idx="10">
                  <c:v>0.97657121606545183</c:v>
                </c:pt>
                <c:pt idx="11">
                  <c:v>1</c:v>
                </c:pt>
              </c:numCache>
            </c:numRef>
          </c:xVal>
          <c:yVal>
            <c:numRef>
              <c:f>Φύλλο1!$J$4:$J$15</c:f>
              <c:numCache>
                <c:formatCode>General</c:formatCode>
                <c:ptCount val="12"/>
                <c:pt idx="0">
                  <c:v>1</c:v>
                </c:pt>
                <c:pt idx="1">
                  <c:v>0.92843295638126011</c:v>
                </c:pt>
                <c:pt idx="2">
                  <c:v>0.85607923017489629</c:v>
                </c:pt>
                <c:pt idx="3">
                  <c:v>0.82729507620987563</c:v>
                </c:pt>
                <c:pt idx="4">
                  <c:v>0.78754653367984828</c:v>
                </c:pt>
                <c:pt idx="5">
                  <c:v>0.71810072346702258</c:v>
                </c:pt>
                <c:pt idx="6">
                  <c:v>0.63917960244433514</c:v>
                </c:pt>
                <c:pt idx="7">
                  <c:v>0.50712931095034064</c:v>
                </c:pt>
                <c:pt idx="8">
                  <c:v>0.32303153754302172</c:v>
                </c:pt>
                <c:pt idx="9">
                  <c:v>0.19624920980543653</c:v>
                </c:pt>
                <c:pt idx="10">
                  <c:v>9.8124604902718265E-2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9-4E9B-904D-52AFB436E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985440"/>
        <c:axId val="919942480"/>
      </c:scatterChart>
      <c:valAx>
        <c:axId val="8639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θ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942480"/>
        <c:crosses val="autoZero"/>
        <c:crossBetween val="midCat"/>
      </c:valAx>
      <c:valAx>
        <c:axId val="9199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δ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98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Σύγκριση καμπυλών αλληλεπίδρασης</a:t>
            </a:r>
            <a:r>
              <a:rPr lang="el-GR" baseline="0"/>
              <a:t> φορτίου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Ισότροπο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Φύλλο1!$N$4:$N$44</c:f>
              <c:numCache>
                <c:formatCode>General</c:formatCode>
                <c:ptCount val="41"/>
                <c:pt idx="0">
                  <c:v>1</c:v>
                </c:pt>
                <c:pt idx="1">
                  <c:v>0.98516555349136015</c:v>
                </c:pt>
                <c:pt idx="2">
                  <c:v>0.97017443421759397</c:v>
                </c:pt>
                <c:pt idx="3">
                  <c:v>0.95502079732553424</c:v>
                </c:pt>
                <c:pt idx="4">
                  <c:v>0.93969841506410612</c:v>
                </c:pt>
                <c:pt idx="5">
                  <c:v>0.92420064029533966</c:v>
                </c:pt>
                <c:pt idx="6">
                  <c:v>0.90852036537845604</c:v>
                </c:pt>
                <c:pt idx="7">
                  <c:v>0.8926499756858729</c:v>
                </c:pt>
                <c:pt idx="8">
                  <c:v>0.87658129686499497</c:v>
                </c:pt>
                <c:pt idx="9">
                  <c:v>0.86030553478085958</c:v>
                </c:pt>
                <c:pt idx="10">
                  <c:v>0.84381320685284888</c:v>
                </c:pt>
                <c:pt idx="11">
                  <c:v>0.82709406322157253</c:v>
                </c:pt>
                <c:pt idx="12">
                  <c:v>0.81013699583354748</c:v>
                </c:pt>
                <c:pt idx="13">
                  <c:v>0.79292993308978288</c:v>
                </c:pt>
                <c:pt idx="14">
                  <c:v>0.77545971714061912</c:v>
                </c:pt>
                <c:pt idx="15">
                  <c:v>0.75771196018321973</c:v>
                </c:pt>
                <c:pt idx="16">
                  <c:v>0.73967087517488039</c:v>
                </c:pt>
                <c:pt idx="17">
                  <c:v>0.72131907513787119</c:v>
                </c:pt>
                <c:pt idx="18">
                  <c:v>0.70263733359107783</c:v>
                </c:pt>
                <c:pt idx="19">
                  <c:v>0.68360429644443876</c:v>
                </c:pt>
                <c:pt idx="20">
                  <c:v>0.66419613270752409</c:v>
                </c:pt>
                <c:pt idx="21">
                  <c:v>0.64438610725903611</c:v>
                </c:pt>
                <c:pt idx="22">
                  <c:v>0.62414405319696908</c:v>
                </c:pt>
                <c:pt idx="23">
                  <c:v>0.60343571317039735</c:v>
                </c:pt>
                <c:pt idx="24">
                  <c:v>0.58222190738147572</c:v>
                </c:pt>
                <c:pt idx="25">
                  <c:v>0.56045746871919622</c:v>
                </c:pt>
                <c:pt idx="26">
                  <c:v>0.53808985959593381</c:v>
                </c:pt>
                <c:pt idx="27">
                  <c:v>0.51505734519526969</c:v>
                </c:pt>
                <c:pt idx="28">
                  <c:v>0.49128653476754541</c:v>
                </c:pt>
                <c:pt idx="29">
                  <c:v>0.46668899966712046</c:v>
                </c:pt>
                <c:pt idx="30">
                  <c:v>0.44115650270363099</c:v>
                </c:pt>
                <c:pt idx="31">
                  <c:v>0.41455406638582609</c:v>
                </c:pt>
                <c:pt idx="32">
                  <c:v>0.38670953926037444</c:v>
                </c:pt>
                <c:pt idx="33">
                  <c:v>0.35739720379275391</c:v>
                </c:pt>
                <c:pt idx="34">
                  <c:v>0.32631061644388432</c:v>
                </c:pt>
                <c:pt idx="35">
                  <c:v>0.29301444301452811</c:v>
                </c:pt>
                <c:pt idx="36">
                  <c:v>0.25685098045784915</c:v>
                </c:pt>
                <c:pt idx="37">
                  <c:v>0.21673424950343609</c:v>
                </c:pt>
                <c:pt idx="38">
                  <c:v>0.17059942790223939</c:v>
                </c:pt>
                <c:pt idx="39">
                  <c:v>0.11331148025478345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E8-4EE4-BF4F-F2C5B6E129D0}"/>
            </c:ext>
          </c:extLst>
        </c:ser>
        <c:ser>
          <c:idx val="1"/>
          <c:order val="1"/>
          <c:tx>
            <c:v>Ορθότροπο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Φύλλο1!$M$4:$M$44</c:f>
              <c:numCache>
                <c:formatCode>General</c:formatCode>
                <c:ptCount val="41"/>
                <c:pt idx="0">
                  <c:v>1</c:v>
                </c:pt>
                <c:pt idx="1">
                  <c:v>0.98357792750870465</c:v>
                </c:pt>
                <c:pt idx="2">
                  <c:v>0.96700950411231934</c:v>
                </c:pt>
                <c:pt idx="3">
                  <c:v>0.95028952112998699</c:v>
                </c:pt>
                <c:pt idx="4">
                  <c:v>0.93341243796467144</c:v>
                </c:pt>
                <c:pt idx="5">
                  <c:v>0.91637235109079973</c:v>
                </c:pt>
                <c:pt idx="6">
                  <c:v>0.89916295916972744</c:v>
                </c:pt>
                <c:pt idx="7">
                  <c:v>0.88177752368064177</c:v>
                </c:pt>
                <c:pt idx="8">
                  <c:v>0.86420882433602686</c:v>
                </c:pt>
                <c:pt idx="9">
                  <c:v>0.84644910840495358</c:v>
                </c:pt>
                <c:pt idx="10">
                  <c:v>0.82849003288680168</c:v>
                </c:pt>
                <c:pt idx="11">
                  <c:v>0.81032259825281372</c:v>
                </c:pt>
                <c:pt idx="12">
                  <c:v>0.7919370721902208</c:v>
                </c:pt>
                <c:pt idx="13">
                  <c:v>0.77332290142630045</c:v>
                </c:pt>
                <c:pt idx="14">
                  <c:v>0.75446860925434223</c:v>
                </c:pt>
                <c:pt idx="15">
                  <c:v>0.73536167579840306</c:v>
                </c:pt>
                <c:pt idx="16">
                  <c:v>0.71598839729521913</c:v>
                </c:pt>
                <c:pt idx="17">
                  <c:v>0.69633371967887125</c:v>
                </c:pt>
                <c:pt idx="18">
                  <c:v>0.67638104044093039</c:v>
                </c:pt>
                <c:pt idx="19">
                  <c:v>0.65611197098315355</c:v>
                </c:pt>
                <c:pt idx="20">
                  <c:v>0.63550604930350851</c:v>
                </c:pt>
                <c:pt idx="21">
                  <c:v>0.6145403895973649</c:v>
                </c:pt>
                <c:pt idx="22">
                  <c:v>0.59318925082168439</c:v>
                </c:pt>
                <c:pt idx="23">
                  <c:v>0.57142349986200547</c:v>
                </c:pt>
                <c:pt idx="24">
                  <c:v>0.54920993572701815</c:v>
                </c:pt>
                <c:pt idx="25">
                  <c:v>0.52651042768722511</c:v>
                </c:pt>
                <c:pt idx="26">
                  <c:v>0.50328080004459463</c:v>
                </c:pt>
                <c:pt idx="27">
                  <c:v>0.4794693651907394</c:v>
                </c:pt>
                <c:pt idx="28">
                  <c:v>0.45501495771223555</c:v>
                </c:pt>
                <c:pt idx="29">
                  <c:v>0.4298442428344123</c:v>
                </c:pt>
                <c:pt idx="30">
                  <c:v>0.40386793870135335</c:v>
                </c:pt>
                <c:pt idx="31">
                  <c:v>0.37697535727899673</c:v>
                </c:pt>
                <c:pt idx="32">
                  <c:v>0.34902623649211106</c:v>
                </c:pt>
                <c:pt idx="33">
                  <c:v>0.31983799292664938</c:v>
                </c:pt>
                <c:pt idx="34">
                  <c:v>0.28916475814970577</c:v>
                </c:pt>
                <c:pt idx="35">
                  <c:v>0.25666051816444863</c:v>
                </c:pt>
                <c:pt idx="36">
                  <c:v>0.22180828465637351</c:v>
                </c:pt>
                <c:pt idx="37">
                  <c:v>0.18376595304952395</c:v>
                </c:pt>
                <c:pt idx="38">
                  <c:v>0.14096050668476007</c:v>
                </c:pt>
                <c:pt idx="39">
                  <c:v>8.958125471105266E-2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E8-4EE4-BF4F-F2C5B6E12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530847"/>
        <c:axId val="1360530015"/>
      </c:scatterChart>
      <c:valAx>
        <c:axId val="136053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θ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0015"/>
        <c:crosses val="autoZero"/>
        <c:crossBetween val="midCat"/>
      </c:valAx>
      <c:valAx>
        <c:axId val="13605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l-GR"/>
                  <a:t>δ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Comparison</a:t>
            </a:r>
            <a:r>
              <a:rPr lang="en-US" sz="1800" baseline="0"/>
              <a:t> of load interaction curves</a:t>
            </a:r>
            <a:endParaRPr lang="el-G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Isotropic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Φύλλο1!$N$4:$N$44</c:f>
              <c:numCache>
                <c:formatCode>General</c:formatCode>
                <c:ptCount val="41"/>
                <c:pt idx="0">
                  <c:v>1</c:v>
                </c:pt>
                <c:pt idx="1">
                  <c:v>0.98516555349136015</c:v>
                </c:pt>
                <c:pt idx="2">
                  <c:v>0.97017443421759397</c:v>
                </c:pt>
                <c:pt idx="3">
                  <c:v>0.95502079732553424</c:v>
                </c:pt>
                <c:pt idx="4">
                  <c:v>0.93969841506410612</c:v>
                </c:pt>
                <c:pt idx="5">
                  <c:v>0.92420064029533966</c:v>
                </c:pt>
                <c:pt idx="6">
                  <c:v>0.90852036537845604</c:v>
                </c:pt>
                <c:pt idx="7">
                  <c:v>0.8926499756858729</c:v>
                </c:pt>
                <c:pt idx="8">
                  <c:v>0.87658129686499497</c:v>
                </c:pt>
                <c:pt idx="9">
                  <c:v>0.86030553478085958</c:v>
                </c:pt>
                <c:pt idx="10">
                  <c:v>0.84381320685284888</c:v>
                </c:pt>
                <c:pt idx="11">
                  <c:v>0.82709406322157253</c:v>
                </c:pt>
                <c:pt idx="12">
                  <c:v>0.81013699583354748</c:v>
                </c:pt>
                <c:pt idx="13">
                  <c:v>0.79292993308978288</c:v>
                </c:pt>
                <c:pt idx="14">
                  <c:v>0.77545971714061912</c:v>
                </c:pt>
                <c:pt idx="15">
                  <c:v>0.75771196018321973</c:v>
                </c:pt>
                <c:pt idx="16">
                  <c:v>0.73967087517488039</c:v>
                </c:pt>
                <c:pt idx="17">
                  <c:v>0.72131907513787119</c:v>
                </c:pt>
                <c:pt idx="18">
                  <c:v>0.70263733359107783</c:v>
                </c:pt>
                <c:pt idx="19">
                  <c:v>0.68360429644443876</c:v>
                </c:pt>
                <c:pt idx="20">
                  <c:v>0.66419613270752409</c:v>
                </c:pt>
                <c:pt idx="21">
                  <c:v>0.64438610725903611</c:v>
                </c:pt>
                <c:pt idx="22">
                  <c:v>0.62414405319696908</c:v>
                </c:pt>
                <c:pt idx="23">
                  <c:v>0.60343571317039735</c:v>
                </c:pt>
                <c:pt idx="24">
                  <c:v>0.58222190738147572</c:v>
                </c:pt>
                <c:pt idx="25">
                  <c:v>0.56045746871919622</c:v>
                </c:pt>
                <c:pt idx="26">
                  <c:v>0.53808985959593381</c:v>
                </c:pt>
                <c:pt idx="27">
                  <c:v>0.51505734519526969</c:v>
                </c:pt>
                <c:pt idx="28">
                  <c:v>0.49128653476754541</c:v>
                </c:pt>
                <c:pt idx="29">
                  <c:v>0.46668899966712046</c:v>
                </c:pt>
                <c:pt idx="30">
                  <c:v>0.44115650270363099</c:v>
                </c:pt>
                <c:pt idx="31">
                  <c:v>0.41455406638582609</c:v>
                </c:pt>
                <c:pt idx="32">
                  <c:v>0.38670953926037444</c:v>
                </c:pt>
                <c:pt idx="33">
                  <c:v>0.35739720379275391</c:v>
                </c:pt>
                <c:pt idx="34">
                  <c:v>0.32631061644388432</c:v>
                </c:pt>
                <c:pt idx="35">
                  <c:v>0.29301444301452811</c:v>
                </c:pt>
                <c:pt idx="36">
                  <c:v>0.25685098045784915</c:v>
                </c:pt>
                <c:pt idx="37">
                  <c:v>0.21673424950343609</c:v>
                </c:pt>
                <c:pt idx="38">
                  <c:v>0.17059942790223939</c:v>
                </c:pt>
                <c:pt idx="39">
                  <c:v>0.11331148025478345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8F-4027-BDD6-1E1192783C77}"/>
            </c:ext>
          </c:extLst>
        </c:ser>
        <c:ser>
          <c:idx val="1"/>
          <c:order val="1"/>
          <c:tx>
            <c:v>Orthotropic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Φύλλο1!$L$4:$L$44</c:f>
              <c:numCache>
                <c:formatCode>General</c:formatCode>
                <c:ptCount val="41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</c:numCache>
            </c:numRef>
          </c:xVal>
          <c:yVal>
            <c:numRef>
              <c:f>Φύλλο1!$M$4:$M$44</c:f>
              <c:numCache>
                <c:formatCode>General</c:formatCode>
                <c:ptCount val="41"/>
                <c:pt idx="0">
                  <c:v>1</c:v>
                </c:pt>
                <c:pt idx="1">
                  <c:v>0.98357792750870465</c:v>
                </c:pt>
                <c:pt idx="2">
                  <c:v>0.96700950411231934</c:v>
                </c:pt>
                <c:pt idx="3">
                  <c:v>0.95028952112998699</c:v>
                </c:pt>
                <c:pt idx="4">
                  <c:v>0.93341243796467144</c:v>
                </c:pt>
                <c:pt idx="5">
                  <c:v>0.91637235109079973</c:v>
                </c:pt>
                <c:pt idx="6">
                  <c:v>0.89916295916972744</c:v>
                </c:pt>
                <c:pt idx="7">
                  <c:v>0.88177752368064177</c:v>
                </c:pt>
                <c:pt idx="8">
                  <c:v>0.86420882433602686</c:v>
                </c:pt>
                <c:pt idx="9">
                  <c:v>0.84644910840495358</c:v>
                </c:pt>
                <c:pt idx="10">
                  <c:v>0.82849003288680168</c:v>
                </c:pt>
                <c:pt idx="11">
                  <c:v>0.81032259825281372</c:v>
                </c:pt>
                <c:pt idx="12">
                  <c:v>0.7919370721902208</c:v>
                </c:pt>
                <c:pt idx="13">
                  <c:v>0.77332290142630045</c:v>
                </c:pt>
                <c:pt idx="14">
                  <c:v>0.75446860925434223</c:v>
                </c:pt>
                <c:pt idx="15">
                  <c:v>0.73536167579840306</c:v>
                </c:pt>
                <c:pt idx="16">
                  <c:v>0.71598839729521913</c:v>
                </c:pt>
                <c:pt idx="17">
                  <c:v>0.69633371967887125</c:v>
                </c:pt>
                <c:pt idx="18">
                  <c:v>0.67638104044093039</c:v>
                </c:pt>
                <c:pt idx="19">
                  <c:v>0.65611197098315355</c:v>
                </c:pt>
                <c:pt idx="20">
                  <c:v>0.63550604930350851</c:v>
                </c:pt>
                <c:pt idx="21">
                  <c:v>0.6145403895973649</c:v>
                </c:pt>
                <c:pt idx="22">
                  <c:v>0.59318925082168439</c:v>
                </c:pt>
                <c:pt idx="23">
                  <c:v>0.57142349986200547</c:v>
                </c:pt>
                <c:pt idx="24">
                  <c:v>0.54920993572701815</c:v>
                </c:pt>
                <c:pt idx="25">
                  <c:v>0.52651042768722511</c:v>
                </c:pt>
                <c:pt idx="26">
                  <c:v>0.50328080004459463</c:v>
                </c:pt>
                <c:pt idx="27">
                  <c:v>0.4794693651907394</c:v>
                </c:pt>
                <c:pt idx="28">
                  <c:v>0.45501495771223555</c:v>
                </c:pt>
                <c:pt idx="29">
                  <c:v>0.4298442428344123</c:v>
                </c:pt>
                <c:pt idx="30">
                  <c:v>0.40386793870135335</c:v>
                </c:pt>
                <c:pt idx="31">
                  <c:v>0.37697535727899673</c:v>
                </c:pt>
                <c:pt idx="32">
                  <c:v>0.34902623649211106</c:v>
                </c:pt>
                <c:pt idx="33">
                  <c:v>0.31983799292664938</c:v>
                </c:pt>
                <c:pt idx="34">
                  <c:v>0.28916475814970577</c:v>
                </c:pt>
                <c:pt idx="35">
                  <c:v>0.25666051816444863</c:v>
                </c:pt>
                <c:pt idx="36">
                  <c:v>0.22180828465637351</c:v>
                </c:pt>
                <c:pt idx="37">
                  <c:v>0.18376595304952395</c:v>
                </c:pt>
                <c:pt idx="38">
                  <c:v>0.14096050668476007</c:v>
                </c:pt>
                <c:pt idx="39">
                  <c:v>8.958125471105266E-2</c:v>
                </c:pt>
                <c:pt idx="4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8F-4027-BDD6-1E1192783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0530847"/>
        <c:axId val="1360530015"/>
      </c:scatterChart>
      <c:valAx>
        <c:axId val="136053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Rc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0015"/>
        <c:crosses val="autoZero"/>
        <c:crossBetween val="midCat"/>
      </c:valAx>
      <c:valAx>
        <c:axId val="136053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30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590782</xdr:colOff>
      <xdr:row>0</xdr:row>
      <xdr:rowOff>163337</xdr:rowOff>
    </xdr:from>
    <xdr:to>
      <xdr:col>27</xdr:col>
      <xdr:colOff>170370</xdr:colOff>
      <xdr:row>27</xdr:row>
      <xdr:rowOff>119281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2E0F7-AB31-4126-92A5-AAB200BA8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217714</xdr:colOff>
      <xdr:row>29</xdr:row>
      <xdr:rowOff>133047</xdr:rowOff>
    </xdr:from>
    <xdr:to>
      <xdr:col>28</xdr:col>
      <xdr:colOff>402063</xdr:colOff>
      <xdr:row>56</xdr:row>
      <xdr:rowOff>88991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02719D-D0E1-4B34-9EAE-8C67555AE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6048</xdr:colOff>
      <xdr:row>44</xdr:row>
      <xdr:rowOff>158447</xdr:rowOff>
    </xdr:from>
    <xdr:to>
      <xdr:col>16</xdr:col>
      <xdr:colOff>114906</xdr:colOff>
      <xdr:row>59</xdr:row>
      <xdr:rowOff>180218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E7ECA-DD2B-4220-AE68-93E8FE4B9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895047</xdr:colOff>
      <xdr:row>39</xdr:row>
      <xdr:rowOff>133049</xdr:rowOff>
    </xdr:from>
    <xdr:to>
      <xdr:col>9</xdr:col>
      <xdr:colOff>290285</xdr:colOff>
      <xdr:row>54</xdr:row>
      <xdr:rowOff>154820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72F141-FB00-4372-8B2A-079AD0720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44"/>
  <sheetViews>
    <sheetView tabSelected="1" topLeftCell="B28" zoomScale="63" zoomScaleNormal="63" workbookViewId="0">
      <selection activeCell="X61" sqref="X61"/>
    </sheetView>
  </sheetViews>
  <sheetFormatPr defaultRowHeight="14.4" x14ac:dyDescent="0.3"/>
  <cols>
    <col min="3" max="3" width="18" customWidth="1"/>
    <col min="4" max="4" width="13.44140625" customWidth="1"/>
    <col min="13" max="13" width="16.44140625" customWidth="1"/>
    <col min="14" max="14" width="13.44140625" customWidth="1"/>
  </cols>
  <sheetData>
    <row r="2" spans="3:14" x14ac:dyDescent="0.3">
      <c r="C2" s="8" t="s">
        <v>0</v>
      </c>
      <c r="D2" s="8"/>
      <c r="E2" s="8"/>
      <c r="G2" s="8" t="s">
        <v>7</v>
      </c>
      <c r="H2" s="8"/>
      <c r="I2" s="8"/>
      <c r="J2" s="8"/>
      <c r="K2" s="8"/>
    </row>
    <row r="3" spans="3:14" x14ac:dyDescent="0.3">
      <c r="C3" s="1" t="s">
        <v>1</v>
      </c>
      <c r="D3" s="1" t="s">
        <v>2</v>
      </c>
      <c r="E3" s="1" t="s">
        <v>3</v>
      </c>
      <c r="G3" s="5" t="s">
        <v>11</v>
      </c>
      <c r="H3" s="5" t="s">
        <v>10</v>
      </c>
      <c r="I3" s="5" t="s">
        <v>9</v>
      </c>
      <c r="J3" s="5" t="s">
        <v>8</v>
      </c>
      <c r="L3" t="s">
        <v>12</v>
      </c>
      <c r="M3" s="4" t="s">
        <v>15</v>
      </c>
      <c r="N3" s="7" t="s">
        <v>15</v>
      </c>
    </row>
    <row r="4" spans="3:14" x14ac:dyDescent="0.3">
      <c r="C4" s="1">
        <v>50</v>
      </c>
      <c r="D4" s="1">
        <v>338684</v>
      </c>
      <c r="E4" s="1" t="s">
        <v>4</v>
      </c>
      <c r="G4" s="5">
        <v>0</v>
      </c>
      <c r="H4" s="5">
        <f>D11</f>
        <v>142.37</v>
      </c>
      <c r="I4" s="5">
        <f t="shared" ref="I4" si="0">G4/$D$10</f>
        <v>0</v>
      </c>
      <c r="J4" s="5">
        <f t="shared" ref="J4" si="1">H4/$D$11</f>
        <v>1</v>
      </c>
      <c r="L4">
        <v>0</v>
      </c>
      <c r="M4">
        <f>(1-L4)^(1/1.529)</f>
        <v>1</v>
      </c>
      <c r="N4">
        <f>(1-L4)^(1/1.694)</f>
        <v>1</v>
      </c>
    </row>
    <row r="5" spans="3:14" x14ac:dyDescent="0.3">
      <c r="C5" s="1">
        <v>25</v>
      </c>
      <c r="D5" s="1">
        <v>238724</v>
      </c>
      <c r="E5" s="1">
        <f>ABS((D5-D4)/D5)*100</f>
        <v>41.87262277776847</v>
      </c>
      <c r="G5" s="5">
        <v>31.73</v>
      </c>
      <c r="H5" s="5">
        <v>132.18100000000001</v>
      </c>
      <c r="I5" s="5">
        <f>G5/$D$10</f>
        <v>9.8332713524234533E-2</v>
      </c>
      <c r="J5" s="5">
        <f>H5/$D$11</f>
        <v>0.92843295638126011</v>
      </c>
      <c r="L5">
        <v>2.5000000000000001E-2</v>
      </c>
      <c r="M5">
        <f t="shared" ref="M5:M44" si="2">(1-L5)^(1/1.529)</f>
        <v>0.98357792750870465</v>
      </c>
      <c r="N5">
        <f t="shared" ref="N5:N44" si="3">(1-L5)^(1/1.694)</f>
        <v>0.98516555349136015</v>
      </c>
    </row>
    <row r="6" spans="3:14" x14ac:dyDescent="0.3">
      <c r="C6" s="1">
        <v>12.5</v>
      </c>
      <c r="D6" s="1">
        <v>220690</v>
      </c>
      <c r="E6" s="1">
        <f>ABS((D6-D5)/D6)*100</f>
        <v>8.1716434818070596</v>
      </c>
      <c r="G6" s="5">
        <v>67.95</v>
      </c>
      <c r="H6" s="5">
        <v>121.88</v>
      </c>
      <c r="I6" s="6">
        <f t="shared" ref="I6:I14" si="4">G6/$D$10</f>
        <v>0.21058014131647454</v>
      </c>
      <c r="J6" s="6">
        <f t="shared" ref="J6:J14" si="5">H6/$D$11</f>
        <v>0.85607923017489629</v>
      </c>
      <c r="L6">
        <v>0.05</v>
      </c>
      <c r="M6">
        <f t="shared" si="2"/>
        <v>0.96700950411231934</v>
      </c>
      <c r="N6">
        <f t="shared" si="3"/>
        <v>0.97017443421759397</v>
      </c>
    </row>
    <row r="7" spans="3:14" x14ac:dyDescent="0.3">
      <c r="C7" s="1">
        <v>10</v>
      </c>
      <c r="D7" s="1">
        <v>218713</v>
      </c>
      <c r="E7" s="1">
        <f>ABS((D7-D6)/D7)*100</f>
        <v>0.90392432091370889</v>
      </c>
      <c r="G7" s="6">
        <v>80.45</v>
      </c>
      <c r="H7">
        <v>117.782</v>
      </c>
      <c r="I7" s="6">
        <f t="shared" si="4"/>
        <v>0.24931820999132268</v>
      </c>
      <c r="J7" s="6">
        <f t="shared" si="5"/>
        <v>0.82729507620987563</v>
      </c>
      <c r="L7">
        <v>7.4999999999999997E-2</v>
      </c>
      <c r="M7">
        <f t="shared" si="2"/>
        <v>0.95028952112998699</v>
      </c>
      <c r="N7">
        <f t="shared" si="3"/>
        <v>0.95502079732553424</v>
      </c>
    </row>
    <row r="8" spans="3:14" x14ac:dyDescent="0.3">
      <c r="C8" s="1">
        <v>5</v>
      </c>
      <c r="D8" s="1">
        <v>215489</v>
      </c>
      <c r="E8" s="1">
        <f>ABS((D8-D7)/D8)*100</f>
        <v>1.4961320531442441</v>
      </c>
      <c r="G8" s="5">
        <v>94.7</v>
      </c>
      <c r="H8" s="5">
        <v>112.123</v>
      </c>
      <c r="I8" s="6">
        <f>G8/$D$10</f>
        <v>0.29347960828064956</v>
      </c>
      <c r="J8" s="6">
        <f>H8/$D$11</f>
        <v>0.78754653367984828</v>
      </c>
      <c r="L8">
        <v>0.1</v>
      </c>
      <c r="M8">
        <f t="shared" si="2"/>
        <v>0.93341243796467144</v>
      </c>
      <c r="N8">
        <f t="shared" si="3"/>
        <v>0.93969841506410612</v>
      </c>
    </row>
    <row r="9" spans="3:14" x14ac:dyDescent="0.3">
      <c r="C9" s="1"/>
      <c r="D9" s="1"/>
      <c r="E9" s="1"/>
      <c r="G9" s="5">
        <v>126.41200000000001</v>
      </c>
      <c r="H9" s="5">
        <v>102.236</v>
      </c>
      <c r="I9" s="6">
        <f>G9/$D$10</f>
        <v>0.39175653898599233</v>
      </c>
      <c r="J9" s="6">
        <f>H9/$D$11</f>
        <v>0.71810072346702258</v>
      </c>
      <c r="L9">
        <v>0.125</v>
      </c>
      <c r="M9">
        <f t="shared" si="2"/>
        <v>0.91637235109079973</v>
      </c>
      <c r="N9">
        <f t="shared" si="3"/>
        <v>0.92420064029533966</v>
      </c>
    </row>
    <row r="10" spans="3:14" x14ac:dyDescent="0.3">
      <c r="C10" s="1" t="s">
        <v>5</v>
      </c>
      <c r="D10" s="1">
        <v>322.68</v>
      </c>
      <c r="E10" s="1"/>
      <c r="G10" s="5">
        <v>159.62</v>
      </c>
      <c r="H10" s="5">
        <v>91</v>
      </c>
      <c r="I10" s="6">
        <f>G10/$D$10</f>
        <v>0.49466964175034089</v>
      </c>
      <c r="J10" s="6">
        <f>H10/$D$11</f>
        <v>0.63917960244433514</v>
      </c>
      <c r="L10">
        <v>0.15</v>
      </c>
      <c r="M10">
        <f t="shared" si="2"/>
        <v>0.89916295916972744</v>
      </c>
      <c r="N10">
        <f t="shared" si="3"/>
        <v>0.90852036537845604</v>
      </c>
    </row>
    <row r="11" spans="3:14" x14ac:dyDescent="0.3">
      <c r="C11" s="1" t="s">
        <v>6</v>
      </c>
      <c r="D11" s="1">
        <v>142.37</v>
      </c>
      <c r="E11" s="1"/>
      <c r="G11" s="5">
        <v>211.1</v>
      </c>
      <c r="H11" s="5">
        <v>72.2</v>
      </c>
      <c r="I11" s="6">
        <f t="shared" si="4"/>
        <v>0.6542085037808355</v>
      </c>
      <c r="J11" s="6">
        <f t="shared" si="5"/>
        <v>0.50712931095034064</v>
      </c>
      <c r="L11">
        <v>0.17499999999999999</v>
      </c>
      <c r="M11">
        <f t="shared" si="2"/>
        <v>0.88177752368064177</v>
      </c>
      <c r="N11">
        <f t="shared" si="3"/>
        <v>0.8926499756858729</v>
      </c>
    </row>
    <row r="12" spans="3:14" x14ac:dyDescent="0.3">
      <c r="C12" s="1" t="s">
        <v>14</v>
      </c>
      <c r="D12" s="1">
        <v>1.56</v>
      </c>
      <c r="E12" s="1"/>
      <c r="G12" s="5">
        <v>266.7</v>
      </c>
      <c r="H12" s="5">
        <v>45.99</v>
      </c>
      <c r="I12" s="6">
        <f t="shared" si="4"/>
        <v>0.82651543324655996</v>
      </c>
      <c r="J12" s="6">
        <f t="shared" si="5"/>
        <v>0.32303153754302172</v>
      </c>
      <c r="L12">
        <v>0.2</v>
      </c>
      <c r="M12">
        <f t="shared" si="2"/>
        <v>0.86420882433602686</v>
      </c>
      <c r="N12">
        <f t="shared" si="3"/>
        <v>0.87658129686499497</v>
      </c>
    </row>
    <row r="13" spans="3:14" x14ac:dyDescent="0.3">
      <c r="C13" s="1" t="s">
        <v>13</v>
      </c>
      <c r="D13" s="1">
        <v>3.2</v>
      </c>
      <c r="E13" s="1"/>
      <c r="G13" s="5">
        <v>298.98</v>
      </c>
      <c r="H13" s="5">
        <v>27.94</v>
      </c>
      <c r="I13" s="6">
        <f t="shared" si="4"/>
        <v>0.92655262179248798</v>
      </c>
      <c r="J13" s="6">
        <f t="shared" si="5"/>
        <v>0.19624920980543653</v>
      </c>
      <c r="L13">
        <v>0.22500000000000001</v>
      </c>
      <c r="M13">
        <f t="shared" si="2"/>
        <v>0.84644910840495358</v>
      </c>
      <c r="N13">
        <f t="shared" si="3"/>
        <v>0.86030553478085958</v>
      </c>
    </row>
    <row r="14" spans="3:14" x14ac:dyDescent="0.3">
      <c r="C14" s="1"/>
      <c r="D14" s="1"/>
      <c r="E14" s="1"/>
      <c r="G14" s="5">
        <v>315.12</v>
      </c>
      <c r="H14" s="5">
        <v>13.97</v>
      </c>
      <c r="I14" s="6">
        <f t="shared" si="4"/>
        <v>0.97657121606545183</v>
      </c>
      <c r="J14" s="6">
        <f t="shared" si="5"/>
        <v>9.8124604902718265E-2</v>
      </c>
      <c r="L14">
        <v>0.25</v>
      </c>
      <c r="M14">
        <f t="shared" si="2"/>
        <v>0.82849003288680168</v>
      </c>
      <c r="N14">
        <f t="shared" si="3"/>
        <v>0.84381320685284888</v>
      </c>
    </row>
    <row r="15" spans="3:14" x14ac:dyDescent="0.3">
      <c r="C15" s="1"/>
      <c r="D15" s="1"/>
      <c r="E15" s="1"/>
      <c r="G15" s="5">
        <f>D10</f>
        <v>322.68</v>
      </c>
      <c r="H15" s="5">
        <v>0</v>
      </c>
      <c r="I15" s="6">
        <f>G15/$D$10</f>
        <v>1</v>
      </c>
      <c r="J15" s="6">
        <f>H15/$D$11</f>
        <v>0</v>
      </c>
      <c r="L15">
        <v>0.27500000000000002</v>
      </c>
      <c r="M15">
        <f t="shared" si="2"/>
        <v>0.81032259825281372</v>
      </c>
      <c r="N15">
        <f t="shared" si="3"/>
        <v>0.82709406322157253</v>
      </c>
    </row>
    <row r="16" spans="3:14" x14ac:dyDescent="0.3">
      <c r="C16" s="1"/>
      <c r="D16" s="1"/>
      <c r="E16" s="1"/>
      <c r="L16">
        <v>0.3</v>
      </c>
      <c r="M16">
        <f t="shared" si="2"/>
        <v>0.7919370721902208</v>
      </c>
      <c r="N16">
        <f t="shared" si="3"/>
        <v>0.81013699583354748</v>
      </c>
    </row>
    <row r="17" spans="3:14" x14ac:dyDescent="0.3">
      <c r="C17" s="1"/>
      <c r="D17" s="1"/>
      <c r="E17" s="1"/>
      <c r="L17">
        <v>0.32500000000000001</v>
      </c>
      <c r="M17">
        <f t="shared" si="2"/>
        <v>0.77332290142630045</v>
      </c>
      <c r="N17">
        <f t="shared" si="3"/>
        <v>0.79292993308978288</v>
      </c>
    </row>
    <row r="18" spans="3:14" x14ac:dyDescent="0.3">
      <c r="C18" s="1"/>
      <c r="D18" s="1"/>
      <c r="E18" s="1"/>
      <c r="L18">
        <v>0.35</v>
      </c>
      <c r="M18">
        <f t="shared" si="2"/>
        <v>0.75446860925434223</v>
      </c>
      <c r="N18">
        <f t="shared" si="3"/>
        <v>0.77545971714061912</v>
      </c>
    </row>
    <row r="19" spans="3:14" x14ac:dyDescent="0.3">
      <c r="C19" s="1"/>
      <c r="D19" s="1"/>
      <c r="E19" s="1"/>
      <c r="G19" s="2"/>
      <c r="H19" s="2"/>
      <c r="I19" s="3"/>
      <c r="J19" s="3"/>
      <c r="L19">
        <v>0.375</v>
      </c>
      <c r="M19">
        <f t="shared" si="2"/>
        <v>0.73536167579840306</v>
      </c>
      <c r="N19">
        <f t="shared" si="3"/>
        <v>0.75771196018321973</v>
      </c>
    </row>
    <row r="20" spans="3:14" x14ac:dyDescent="0.3">
      <c r="C20" s="4"/>
      <c r="D20" s="4"/>
      <c r="E20" s="4"/>
      <c r="F20" s="4"/>
      <c r="G20" s="2"/>
      <c r="H20" s="2"/>
      <c r="I20" s="3"/>
      <c r="J20" s="3"/>
      <c r="L20">
        <v>0.4</v>
      </c>
      <c r="M20">
        <f t="shared" si="2"/>
        <v>0.71598839729521913</v>
      </c>
      <c r="N20">
        <f t="shared" si="3"/>
        <v>0.73967087517488039</v>
      </c>
    </row>
    <row r="21" spans="3:14" x14ac:dyDescent="0.3">
      <c r="C21" s="4"/>
      <c r="D21" s="4"/>
      <c r="E21" s="4"/>
      <c r="F21" s="4"/>
      <c r="G21" s="2"/>
      <c r="H21" s="2"/>
      <c r="I21" s="3"/>
      <c r="J21" s="3"/>
      <c r="L21">
        <v>0.42499999999999999</v>
      </c>
      <c r="M21">
        <f t="shared" si="2"/>
        <v>0.69633371967887125</v>
      </c>
      <c r="N21">
        <f t="shared" si="3"/>
        <v>0.72131907513787119</v>
      </c>
    </row>
    <row r="22" spans="3:14" x14ac:dyDescent="0.3">
      <c r="C22" s="4"/>
      <c r="D22" s="4"/>
      <c r="E22" s="4"/>
      <c r="F22" s="4"/>
      <c r="G22" s="2"/>
      <c r="H22" s="2"/>
      <c r="I22" s="3"/>
      <c r="J22" s="3"/>
      <c r="L22">
        <v>0.45</v>
      </c>
      <c r="M22">
        <f t="shared" si="2"/>
        <v>0.67638104044093039</v>
      </c>
      <c r="N22">
        <f t="shared" si="3"/>
        <v>0.70263733359107783</v>
      </c>
    </row>
    <row r="23" spans="3:14" x14ac:dyDescent="0.3">
      <c r="C23" s="4"/>
      <c r="D23" s="4"/>
      <c r="E23" s="4"/>
      <c r="F23" s="4"/>
      <c r="G23" s="2"/>
      <c r="H23" s="2"/>
      <c r="I23" s="3"/>
      <c r="J23" s="3"/>
      <c r="L23">
        <v>0.47499999999999998</v>
      </c>
      <c r="M23">
        <f t="shared" si="2"/>
        <v>0.65611197098315355</v>
      </c>
      <c r="N23">
        <f t="shared" si="3"/>
        <v>0.68360429644443876</v>
      </c>
    </row>
    <row r="24" spans="3:14" x14ac:dyDescent="0.3">
      <c r="G24" s="1"/>
      <c r="H24" s="1"/>
      <c r="I24" s="3"/>
      <c r="J24" s="3"/>
      <c r="L24">
        <v>0.5</v>
      </c>
      <c r="M24">
        <f t="shared" si="2"/>
        <v>0.63550604930350851</v>
      </c>
      <c r="N24">
        <f t="shared" si="3"/>
        <v>0.66419613270752409</v>
      </c>
    </row>
    <row r="25" spans="3:14" x14ac:dyDescent="0.3">
      <c r="C25" s="4"/>
      <c r="D25" s="4"/>
      <c r="E25" s="4"/>
      <c r="F25" s="4"/>
      <c r="G25" s="1"/>
      <c r="H25" s="1"/>
      <c r="I25" s="3"/>
      <c r="J25" s="3"/>
      <c r="L25">
        <v>0.52500000000000002</v>
      </c>
      <c r="M25">
        <f t="shared" si="2"/>
        <v>0.6145403895973649</v>
      </c>
      <c r="N25">
        <f t="shared" si="3"/>
        <v>0.64438610725903611</v>
      </c>
    </row>
    <row r="26" spans="3:14" x14ac:dyDescent="0.3">
      <c r="C26" s="4"/>
      <c r="D26" s="4"/>
      <c r="E26" s="4"/>
      <c r="F26" s="4"/>
      <c r="G26" s="1"/>
      <c r="H26" s="1"/>
      <c r="I26" s="3"/>
      <c r="J26" s="3"/>
      <c r="L26">
        <v>0.55000000000000004</v>
      </c>
      <c r="M26">
        <f t="shared" si="2"/>
        <v>0.59318925082168439</v>
      </c>
      <c r="N26">
        <f t="shared" si="3"/>
        <v>0.62414405319696908</v>
      </c>
    </row>
    <row r="27" spans="3:14" x14ac:dyDescent="0.3">
      <c r="C27" s="4"/>
      <c r="D27" s="4"/>
      <c r="E27" s="4"/>
      <c r="F27" s="4"/>
      <c r="G27" s="1"/>
      <c r="H27" s="1"/>
      <c r="I27" s="3"/>
      <c r="J27" s="3"/>
      <c r="L27">
        <v>0.57499999999999996</v>
      </c>
      <c r="M27">
        <f t="shared" si="2"/>
        <v>0.57142349986200547</v>
      </c>
      <c r="N27">
        <f t="shared" si="3"/>
        <v>0.60343571317039735</v>
      </c>
    </row>
    <row r="28" spans="3:14" x14ac:dyDescent="0.3">
      <c r="C28" s="4"/>
      <c r="D28" s="4"/>
      <c r="E28" s="4"/>
      <c r="F28" s="4"/>
      <c r="G28" s="1"/>
      <c r="H28" s="1"/>
      <c r="I28" s="3"/>
      <c r="J28" s="3"/>
      <c r="L28">
        <v>0.6</v>
      </c>
      <c r="M28">
        <f t="shared" si="2"/>
        <v>0.54920993572701815</v>
      </c>
      <c r="N28">
        <f t="shared" si="3"/>
        <v>0.58222190738147572</v>
      </c>
    </row>
    <row r="29" spans="3:14" x14ac:dyDescent="0.3">
      <c r="C29" s="4"/>
      <c r="D29" s="4"/>
      <c r="E29" s="4"/>
      <c r="F29" s="4"/>
      <c r="G29" s="1"/>
      <c r="H29" s="1"/>
      <c r="I29" s="3"/>
      <c r="J29" s="3"/>
      <c r="L29">
        <v>0.625</v>
      </c>
      <c r="M29">
        <f t="shared" si="2"/>
        <v>0.52651042768722511</v>
      </c>
      <c r="N29">
        <f t="shared" si="3"/>
        <v>0.56045746871919622</v>
      </c>
    </row>
    <row r="30" spans="3:14" x14ac:dyDescent="0.3">
      <c r="C30" s="4"/>
      <c r="D30" s="4"/>
      <c r="E30" s="4"/>
      <c r="F30" s="4"/>
      <c r="G30" s="1"/>
      <c r="H30" s="1"/>
      <c r="I30" s="3"/>
      <c r="J30" s="3"/>
      <c r="L30">
        <v>0.65</v>
      </c>
      <c r="M30">
        <f t="shared" si="2"/>
        <v>0.50328080004459463</v>
      </c>
      <c r="N30">
        <f t="shared" si="3"/>
        <v>0.53808985959593381</v>
      </c>
    </row>
    <row r="31" spans="3:14" x14ac:dyDescent="0.3">
      <c r="C31" s="4"/>
      <c r="D31" s="4"/>
      <c r="E31" s="4"/>
      <c r="F31" s="4"/>
      <c r="G31" s="1"/>
      <c r="H31" s="1"/>
      <c r="I31" s="3"/>
      <c r="J31" s="3"/>
      <c r="L31">
        <v>0.67500000000000004</v>
      </c>
      <c r="M31">
        <f t="shared" si="2"/>
        <v>0.4794693651907394</v>
      </c>
      <c r="N31">
        <f t="shared" si="3"/>
        <v>0.51505734519526969</v>
      </c>
    </row>
    <row r="32" spans="3:14" x14ac:dyDescent="0.3">
      <c r="G32" s="1"/>
      <c r="H32" s="1"/>
      <c r="I32" s="3"/>
      <c r="J32" s="3"/>
      <c r="L32">
        <v>0.7</v>
      </c>
      <c r="M32">
        <f t="shared" si="2"/>
        <v>0.45501495771223555</v>
      </c>
      <c r="N32">
        <f t="shared" si="3"/>
        <v>0.49128653476754541</v>
      </c>
    </row>
    <row r="33" spans="7:14" x14ac:dyDescent="0.3">
      <c r="G33" s="1"/>
      <c r="H33" s="1"/>
      <c r="I33" s="3"/>
      <c r="J33" s="3"/>
      <c r="L33">
        <v>0.72499999999999998</v>
      </c>
      <c r="M33">
        <f t="shared" si="2"/>
        <v>0.4298442428344123</v>
      </c>
      <c r="N33">
        <f t="shared" si="3"/>
        <v>0.46668899966712046</v>
      </c>
    </row>
    <row r="34" spans="7:14" x14ac:dyDescent="0.3">
      <c r="G34" s="1"/>
      <c r="H34" s="1"/>
      <c r="I34" s="3"/>
      <c r="J34" s="3"/>
      <c r="L34">
        <v>0.75</v>
      </c>
      <c r="M34">
        <f t="shared" si="2"/>
        <v>0.40386793870135335</v>
      </c>
      <c r="N34">
        <f t="shared" si="3"/>
        <v>0.44115650270363099</v>
      </c>
    </row>
    <row r="35" spans="7:14" x14ac:dyDescent="0.3">
      <c r="G35" s="1"/>
      <c r="H35" s="1"/>
      <c r="I35" s="3"/>
      <c r="J35" s="3"/>
      <c r="L35">
        <v>0.77500000000000002</v>
      </c>
      <c r="M35">
        <f t="shared" si="2"/>
        <v>0.37697535727899673</v>
      </c>
      <c r="N35">
        <f t="shared" si="3"/>
        <v>0.41455406638582609</v>
      </c>
    </row>
    <row r="36" spans="7:14" x14ac:dyDescent="0.3">
      <c r="G36" s="1"/>
      <c r="H36" s="1"/>
      <c r="I36" s="3"/>
      <c r="J36" s="3"/>
      <c r="L36">
        <v>0.8</v>
      </c>
      <c r="M36">
        <f t="shared" si="2"/>
        <v>0.34902623649211106</v>
      </c>
      <c r="N36">
        <f t="shared" si="3"/>
        <v>0.38670953926037444</v>
      </c>
    </row>
    <row r="37" spans="7:14" x14ac:dyDescent="0.3">
      <c r="G37" s="1"/>
      <c r="H37" s="1"/>
      <c r="I37" s="3"/>
      <c r="J37" s="3"/>
      <c r="L37">
        <v>0.82499999999999996</v>
      </c>
      <c r="M37">
        <f t="shared" si="2"/>
        <v>0.31983799292664938</v>
      </c>
      <c r="N37">
        <f t="shared" si="3"/>
        <v>0.35739720379275391</v>
      </c>
    </row>
    <row r="38" spans="7:14" x14ac:dyDescent="0.3">
      <c r="G38" s="1"/>
      <c r="H38" s="1"/>
      <c r="I38" s="3"/>
      <c r="J38" s="3"/>
      <c r="L38">
        <v>0.85</v>
      </c>
      <c r="M38">
        <f t="shared" si="2"/>
        <v>0.28916475814970577</v>
      </c>
      <c r="N38">
        <f t="shared" si="3"/>
        <v>0.32631061644388432</v>
      </c>
    </row>
    <row r="39" spans="7:14" x14ac:dyDescent="0.3">
      <c r="I39" s="3"/>
      <c r="J39" s="3"/>
      <c r="L39">
        <v>0.875</v>
      </c>
      <c r="M39">
        <f t="shared" si="2"/>
        <v>0.25666051816444863</v>
      </c>
      <c r="N39">
        <f t="shared" si="3"/>
        <v>0.29301444301452811</v>
      </c>
    </row>
    <row r="40" spans="7:14" x14ac:dyDescent="0.3">
      <c r="I40" s="3"/>
      <c r="J40" s="3"/>
      <c r="L40">
        <v>0.9</v>
      </c>
      <c r="M40">
        <f t="shared" si="2"/>
        <v>0.22180828465637351</v>
      </c>
      <c r="N40">
        <f t="shared" si="3"/>
        <v>0.25685098045784915</v>
      </c>
    </row>
    <row r="41" spans="7:14" x14ac:dyDescent="0.3">
      <c r="I41" s="3"/>
      <c r="J41" s="3"/>
      <c r="L41">
        <v>0.92500000000000004</v>
      </c>
      <c r="M41">
        <f t="shared" si="2"/>
        <v>0.18376595304952395</v>
      </c>
      <c r="N41">
        <f t="shared" si="3"/>
        <v>0.21673424950343609</v>
      </c>
    </row>
    <row r="42" spans="7:14" x14ac:dyDescent="0.3">
      <c r="I42" s="3"/>
      <c r="J42" s="3"/>
      <c r="L42">
        <v>0.95</v>
      </c>
      <c r="M42">
        <f t="shared" si="2"/>
        <v>0.14096050668476007</v>
      </c>
      <c r="N42">
        <f t="shared" si="3"/>
        <v>0.17059942790223939</v>
      </c>
    </row>
    <row r="43" spans="7:14" x14ac:dyDescent="0.3">
      <c r="I43" s="3"/>
      <c r="J43" s="3"/>
      <c r="L43">
        <v>0.97499999999999998</v>
      </c>
      <c r="M43">
        <f t="shared" si="2"/>
        <v>8.958125471105266E-2</v>
      </c>
      <c r="N43">
        <f t="shared" si="3"/>
        <v>0.11331148025478345</v>
      </c>
    </row>
    <row r="44" spans="7:14" x14ac:dyDescent="0.3">
      <c r="I44" s="3"/>
      <c r="J44" s="3"/>
      <c r="L44">
        <v>1</v>
      </c>
      <c r="M44">
        <f t="shared" si="2"/>
        <v>0</v>
      </c>
      <c r="N44">
        <f t="shared" si="3"/>
        <v>0</v>
      </c>
    </row>
  </sheetData>
  <mergeCells count="2">
    <mergeCell ref="C2:E2"/>
    <mergeCell ref="G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2022-06-27T10:07:12Z</dcterms:modified>
</cp:coreProperties>
</file>